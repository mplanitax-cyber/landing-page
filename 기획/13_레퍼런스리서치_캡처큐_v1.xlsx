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rands" sheetId="2" state="visible" r:id="rId4"/>
    <sheet name="Sections" sheetId="3" state="visible" r:id="rId5"/>
    <sheet name="Tags" sheetId="4" state="visible" r:id="rId6"/>
    <sheet name="Queue" sheetId="5" state="visible" r:id="rId7"/>
    <sheet name="Captures" sheetId="6" state="visible" r:id="rId8"/>
    <sheet name="Q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<sst xmlns="http://schemas.openxmlformats.org/spreadsheetml/2006/main" count="1071" uniqueCount="560">
  <si>
    <r>
      <rPr>
        <b val="true"/>
        <sz val="14"/>
        <color rgb="FF0F2A44"/>
        <rFont val="DejaVu Sans"/>
        <family val="2"/>
      </rPr>
      <t xml:space="preserve">엠플랜잇 랜딩 레퍼런스 리서치 — 캡처 큐 </t>
    </r>
    <r>
      <rPr>
        <b val="true"/>
        <sz val="14"/>
        <color rgb="FF0F2A44"/>
        <rFont val="Arial"/>
        <family val="0"/>
        <charset val="1"/>
      </rPr>
      <t xml:space="preserve">&amp; </t>
    </r>
    <r>
      <rPr>
        <b val="true"/>
        <sz val="14"/>
        <color rgb="FF0F2A44"/>
        <rFont val="DejaVu Sans"/>
        <family val="2"/>
      </rPr>
      <t xml:space="preserve">평가 시트</t>
    </r>
  </si>
  <si>
    <r>
      <rPr>
        <i val="true"/>
        <sz val="9"/>
        <color rgb="FF595959"/>
        <rFont val="Arial"/>
        <family val="0"/>
        <charset val="1"/>
      </rPr>
      <t xml:space="preserve">Upstream: </t>
    </r>
    <r>
      <rPr>
        <i val="true"/>
        <sz val="9"/>
        <color rgb="FF595959"/>
        <rFont val="DejaVu Sans"/>
        <family val="2"/>
      </rPr>
      <t xml:space="preserve">기획</t>
    </r>
    <r>
      <rPr>
        <i val="true"/>
        <sz val="9"/>
        <color rgb="FF595959"/>
        <rFont val="Arial"/>
        <family val="0"/>
        <charset val="1"/>
      </rPr>
      <t xml:space="preserve">/10_</t>
    </r>
    <r>
      <rPr>
        <i val="true"/>
        <sz val="9"/>
        <color rgb="FF595959"/>
        <rFont val="DejaVu Sans"/>
        <family val="2"/>
      </rPr>
      <t xml:space="preserve">디자이너</t>
    </r>
    <r>
      <rPr>
        <i val="true"/>
        <sz val="9"/>
        <color rgb="FF595959"/>
        <rFont val="Arial"/>
        <family val="0"/>
        <charset val="1"/>
      </rPr>
      <t xml:space="preserve">_</t>
    </r>
    <r>
      <rPr>
        <i val="true"/>
        <sz val="9"/>
        <color rgb="FF595959"/>
        <rFont val="DejaVu Sans"/>
        <family val="2"/>
      </rPr>
      <t xml:space="preserve">레퍼런스리서치</t>
    </r>
    <r>
      <rPr>
        <i val="true"/>
        <sz val="9"/>
        <color rgb="FF595959"/>
        <rFont val="Arial"/>
        <family val="0"/>
        <charset val="1"/>
      </rPr>
      <t xml:space="preserve">_</t>
    </r>
    <r>
      <rPr>
        <i val="true"/>
        <sz val="9"/>
        <color rgb="FF595959"/>
        <rFont val="DejaVu Sans"/>
        <family val="2"/>
      </rPr>
      <t xml:space="preserve">브리프</t>
    </r>
    <r>
      <rPr>
        <i val="true"/>
        <sz val="9"/>
        <color rgb="FF595959"/>
        <rFont val="Arial"/>
        <family val="0"/>
        <charset val="1"/>
      </rPr>
      <t xml:space="preserve">.md  ·  Issued 2026-04-24  ·  Deadline 2026-04-28(</t>
    </r>
    <r>
      <rPr>
        <i val="true"/>
        <sz val="9"/>
        <color rgb="FF595959"/>
        <rFont val="DejaVu Sans"/>
        <family val="2"/>
      </rPr>
      <t xml:space="preserve">월</t>
    </r>
    <r>
      <rPr>
        <i val="true"/>
        <sz val="9"/>
        <color rgb="FF595959"/>
        <rFont val="Arial"/>
        <family val="0"/>
        <charset val="1"/>
      </rPr>
      <t xml:space="preserve">) 17:00</t>
    </r>
  </si>
  <si>
    <r>
      <rPr>
        <b val="true"/>
        <sz val="11"/>
        <color rgb="FF1F4E78"/>
        <rFont val="Arial"/>
        <family val="0"/>
        <charset val="1"/>
      </rPr>
      <t xml:space="preserve">1. </t>
    </r>
    <r>
      <rPr>
        <b val="true"/>
        <sz val="11"/>
        <color rgb="FF1F4E78"/>
        <rFont val="DejaVu Sans"/>
        <family val="2"/>
      </rPr>
      <t xml:space="preserve">업무 개요</t>
    </r>
  </si>
  <si>
    <r>
      <rPr>
        <sz val="10"/>
        <rFont val="DejaVu Sans"/>
        <family val="2"/>
      </rPr>
      <t xml:space="preserve">• 목적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엠플랜잇 </t>
    </r>
    <r>
      <rPr>
        <sz val="10"/>
        <rFont val="Arial"/>
        <family val="0"/>
        <charset val="1"/>
      </rPr>
      <t xml:space="preserve">GA </t>
    </r>
    <r>
      <rPr>
        <sz val="10"/>
        <rFont val="DejaVu Sans"/>
        <family val="2"/>
      </rPr>
      <t xml:space="preserve">랜딩플랫폼의 섹션 컴포넌트 라이브러리 </t>
    </r>
    <r>
      <rPr>
        <sz val="10"/>
        <rFont val="Arial"/>
        <family val="0"/>
        <charset val="1"/>
      </rPr>
      <t xml:space="preserve">v2 </t>
    </r>
    <r>
      <rPr>
        <sz val="10"/>
        <rFont val="DejaVu Sans"/>
        <family val="2"/>
      </rPr>
      <t xml:space="preserve">입력을 만들기 위한 시장 실증 패턴 수집</t>
    </r>
    <r>
      <rPr>
        <sz val="10"/>
        <rFont val="Arial"/>
        <family val="0"/>
        <charset val="1"/>
      </rPr>
      <t xml:space="preserve">.
• 산출물: Figma </t>
    </r>
    <r>
      <rPr>
        <sz val="10"/>
        <rFont val="DejaVu Sans"/>
        <family val="2"/>
      </rPr>
      <t xml:space="preserve">보드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장 </t>
    </r>
    <r>
      <rPr>
        <sz val="10"/>
        <rFont val="Arial"/>
        <family val="0"/>
        <charset val="1"/>
      </rPr>
      <t xml:space="preserve">(16 </t>
    </r>
    <r>
      <rPr>
        <sz val="10"/>
        <rFont val="DejaVu Sans"/>
        <family val="2"/>
      </rPr>
      <t xml:space="preserve">섹션 </t>
    </r>
    <r>
      <rPr>
        <sz val="10"/>
        <rFont val="Arial"/>
        <family val="0"/>
        <charset val="1"/>
      </rPr>
      <t xml:space="preserve">× 3~5 variant, </t>
    </r>
    <r>
      <rPr>
        <sz val="10"/>
        <rFont val="DejaVu Sans"/>
        <family val="2"/>
      </rPr>
      <t xml:space="preserve">총 약 </t>
    </r>
    <r>
      <rPr>
        <sz val="10"/>
        <rFont val="Arial"/>
        <family val="0"/>
        <charset val="1"/>
      </rPr>
      <t xml:space="preserve">60</t>
    </r>
    <r>
      <rPr>
        <sz val="10"/>
        <rFont val="DejaVu Sans"/>
        <family val="2"/>
      </rPr>
      <t xml:space="preserve">개 캡처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최소 </t>
    </r>
    <r>
      <rPr>
        <sz val="10"/>
        <rFont val="Arial"/>
        <family val="0"/>
        <charset val="1"/>
      </rPr>
      <t xml:space="preserve">15</t>
    </r>
    <r>
      <rPr>
        <sz val="10"/>
        <rFont val="DejaVu Sans"/>
        <family val="2"/>
      </rPr>
      <t xml:space="preserve">개 브랜드</t>
    </r>
    <r>
      <rPr>
        <sz val="10"/>
        <rFont val="Arial"/>
        <family val="0"/>
        <charset val="1"/>
      </rPr>
      <t xml:space="preserve">).
• 본 엑셀의 역할: </t>
    </r>
    <r>
      <rPr>
        <sz val="10"/>
        <rFont val="DejaVu Sans"/>
        <family val="2"/>
      </rPr>
      <t xml:space="preserve">진척 추적</t>
    </r>
    <r>
      <rPr>
        <sz val="10"/>
        <rFont val="Arial"/>
        <family val="0"/>
        <charset val="1"/>
      </rPr>
      <t xml:space="preserve">, 4</t>
    </r>
    <r>
      <rPr>
        <sz val="10"/>
        <rFont val="DejaVu Sans"/>
        <family val="2"/>
      </rPr>
      <t xml:space="preserve">문항 루브릭 기반 평가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중복 </t>
    </r>
    <r>
      <rPr>
        <sz val="10"/>
        <rFont val="Arial"/>
        <family val="0"/>
        <charset val="1"/>
      </rPr>
      <t xml:space="preserve">variant </t>
    </r>
    <r>
      <rPr>
        <sz val="10"/>
        <rFont val="DejaVu Sans"/>
        <family val="2"/>
      </rPr>
      <t xml:space="preserve">방지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품질 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체크 자동화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</si>
  <si>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color rgb="FF1F4E78"/>
        <rFont val="Arial"/>
        <family val="0"/>
        <charset val="1"/>
      </rPr>
      <t xml:space="preserve">2. </t>
    </r>
    <r>
      <rPr>
        <b val="true"/>
        <sz val="11"/>
        <color rgb="FF1F4E78"/>
        <rFont val="DejaVu Sans"/>
        <family val="2"/>
      </rPr>
      <t xml:space="preserve">레퍼런스 채택 기준 — </t>
    </r>
    <r>
      <rPr>
        <b val="true"/>
        <sz val="11"/>
        <color rgb="FF1F4E78"/>
        <rFont val="Arial"/>
        <family val="0"/>
        <charset val="1"/>
      </rPr>
      <t xml:space="preserve">4</t>
    </r>
    <r>
      <rPr>
        <b val="true"/>
        <sz val="11"/>
        <color rgb="FF1F4E78"/>
        <rFont val="DejaVu Sans"/>
        <family val="2"/>
      </rPr>
      <t xml:space="preserve">문항 루브릭 </t>
    </r>
    <r>
      <rPr>
        <b val="true"/>
        <sz val="11"/>
        <color rgb="FF1F4E78"/>
        <rFont val="Arial"/>
        <family val="0"/>
        <charset val="1"/>
      </rPr>
      <t xml:space="preserve">(</t>
    </r>
    <r>
      <rPr>
        <b val="true"/>
        <sz val="11"/>
        <color rgb="FF1F4E78"/>
        <rFont val="DejaVu Sans"/>
        <family val="2"/>
      </rPr>
      <t xml:space="preserve">브리프 </t>
    </r>
    <r>
      <rPr>
        <b val="true"/>
        <sz val="11"/>
        <color rgb="FF1F4E78"/>
        <rFont val="Arial"/>
        <family val="0"/>
        <charset val="1"/>
      </rPr>
      <t xml:space="preserve">§4.1)</t>
    </r>
  </si>
  <si>
    <r>
      <rPr>
        <sz val="10"/>
        <rFont val="DejaVu Sans"/>
        <family val="2"/>
      </rPr>
      <t xml:space="preserve">각 캡처는 아래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문항에 </t>
    </r>
    <r>
      <rPr>
        <sz val="10"/>
        <rFont val="Arial"/>
        <family val="0"/>
        <charset val="1"/>
      </rPr>
      <t xml:space="preserve">Y/N</t>
    </r>
    <r>
      <rPr>
        <sz val="10"/>
        <rFont val="DejaVu Sans"/>
        <family val="2"/>
      </rPr>
      <t xml:space="preserve">으로 답한다</t>
    </r>
    <r>
      <rPr>
        <sz val="10"/>
        <rFont val="Arial"/>
        <family val="0"/>
        <charset val="1"/>
      </rPr>
      <t xml:space="preserve">. Y </t>
    </r>
    <r>
      <rPr>
        <sz val="10"/>
        <rFont val="DejaVu Sans"/>
        <family val="2"/>
      </rPr>
      <t xml:space="preserve">개수로 ★ 등급이 정해진다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애매하면 </t>
    </r>
    <r>
      <rPr>
        <sz val="10"/>
        <rFont val="Arial"/>
        <family val="0"/>
        <charset val="1"/>
      </rPr>
      <t xml:space="preserve">N.</t>
    </r>
  </si>
  <si>
    <t xml:space="preserve">#</t>
  </si>
  <si>
    <t xml:space="preserve">문항</t>
  </si>
  <si>
    <r>
      <rPr>
        <b val="true"/>
        <sz val="11"/>
        <color rgb="FFFFFFFF"/>
        <rFont val="Arial"/>
        <family val="0"/>
        <charset val="1"/>
      </rPr>
      <t xml:space="preserve">YES </t>
    </r>
    <r>
      <rPr>
        <b val="true"/>
        <sz val="11"/>
        <color rgb="FFFFFFFF"/>
        <rFont val="DejaVu Sans"/>
        <family val="2"/>
      </rPr>
      <t xml:space="preserve">조건</t>
    </r>
  </si>
  <si>
    <r>
      <rPr>
        <b val="true"/>
        <sz val="11"/>
        <color rgb="FFFFFFFF"/>
        <rFont val="Arial"/>
        <family val="0"/>
        <charset val="1"/>
      </rPr>
      <t xml:space="preserve">NO </t>
    </r>
    <r>
      <rPr>
        <b val="true"/>
        <sz val="11"/>
        <color rgb="FFFFFFFF"/>
        <rFont val="DejaVu Sans"/>
        <family val="2"/>
      </rPr>
      <t xml:space="preserve">조건</t>
    </r>
  </si>
  <si>
    <t xml:space="preserve">근거 예시</t>
  </si>
  <si>
    <t xml:space="preserve">칼럼명</t>
  </si>
  <si>
    <t xml:space="preserve">Q1</t>
  </si>
  <si>
    <r>
      <rPr>
        <sz val="10"/>
        <rFont val="Arial"/>
        <family val="0"/>
        <charset val="1"/>
      </rPr>
      <t xml:space="preserve">GA </t>
    </r>
    <r>
      <rPr>
        <sz val="10"/>
        <rFont val="DejaVu Sans"/>
        <family val="2"/>
      </rPr>
      <t xml:space="preserve">적합도</t>
    </r>
  </si>
  <si>
    <r>
      <rPr>
        <sz val="10"/>
        <rFont val="DejaVu Sans"/>
        <family val="2"/>
      </rPr>
      <t xml:space="preserve">보험 </t>
    </r>
    <r>
      <rPr>
        <sz val="10"/>
        <rFont val="Arial"/>
        <family val="0"/>
        <charset val="1"/>
      </rPr>
      <t xml:space="preserve">GA·</t>
    </r>
    <r>
      <rPr>
        <sz val="10"/>
        <rFont val="DejaVu Sans"/>
        <family val="2"/>
      </rPr>
      <t xml:space="preserve">중개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상담 연결 목적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신뢰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전문형 톤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전환 흐름 일치</t>
    </r>
  </si>
  <si>
    <r>
      <rPr>
        <sz val="10"/>
        <rFont val="DejaVu Sans"/>
        <family val="2"/>
      </rPr>
      <t xml:space="preserve">톤</t>
    </r>
    <r>
      <rPr>
        <sz val="10"/>
        <rFont val="Arial"/>
        <family val="0"/>
        <charset val="1"/>
      </rPr>
      <t xml:space="preserve">·CTA·</t>
    </r>
    <r>
      <rPr>
        <sz val="10"/>
        <rFont val="DejaVu Sans"/>
        <family val="2"/>
      </rPr>
      <t xml:space="preserve">전환 구조가 </t>
    </r>
    <r>
      <rPr>
        <sz val="10"/>
        <rFont val="Arial"/>
        <family val="0"/>
        <charset val="1"/>
      </rPr>
      <t xml:space="preserve">GA</t>
    </r>
    <r>
      <rPr>
        <sz val="10"/>
        <rFont val="DejaVu Sans"/>
        <family val="2"/>
      </rPr>
      <t xml:space="preserve">와 어긋남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예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구매 플로우만 있음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</si>
  <si>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리드폼 중심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신뢰 데이터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상담 연결 </t>
    </r>
    <r>
      <rPr>
        <sz val="10"/>
        <rFont val="Arial"/>
        <family val="0"/>
        <charset val="1"/>
      </rPr>
      <t xml:space="preserve">CTA </t>
    </r>
    <r>
      <rPr>
        <sz val="10"/>
        <rFont val="DejaVu Sans"/>
        <family val="2"/>
      </rPr>
      <t xml:space="preserve">존재</t>
    </r>
  </si>
  <si>
    <t xml:space="preserve">y_ga</t>
  </si>
  <si>
    <t xml:space="preserve">Q2</t>
  </si>
  <si>
    <t xml:space="preserve">변형 축 독창성</t>
  </si>
  <si>
    <r>
      <rPr>
        <sz val="10"/>
        <rFont val="DejaVu Sans"/>
        <family val="2"/>
      </rPr>
      <t xml:space="preserve">이미 수집된 다른 </t>
    </r>
    <r>
      <rPr>
        <sz val="10"/>
        <rFont val="Arial"/>
        <family val="0"/>
        <charset val="1"/>
      </rPr>
      <t xml:space="preserve">variant </t>
    </r>
    <r>
      <rPr>
        <sz val="10"/>
        <rFont val="DejaVu Sans"/>
        <family val="2"/>
      </rPr>
      <t xml:space="preserve">와 확실히 다른 패턴</t>
    </r>
  </si>
  <si>
    <r>
      <rPr>
        <sz val="10"/>
        <rFont val="DejaVu Sans"/>
        <family val="2"/>
      </rPr>
      <t xml:space="preserve">같은 </t>
    </r>
    <r>
      <rPr>
        <sz val="10"/>
        <rFont val="Arial"/>
        <family val="0"/>
        <charset val="1"/>
      </rPr>
      <t xml:space="preserve">variant axis </t>
    </r>
    <r>
      <rPr>
        <sz val="10"/>
        <rFont val="DejaVu Sans"/>
        <family val="2"/>
      </rPr>
      <t xml:space="preserve">로 이미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건 있음</t>
    </r>
  </si>
  <si>
    <r>
      <rPr>
        <sz val="10"/>
        <rFont val="DejaVu Sans"/>
        <family val="2"/>
      </rPr>
      <t xml:space="preserve">오른쪽 </t>
    </r>
    <r>
      <rPr>
        <sz val="10"/>
        <rFont val="Arial"/>
        <family val="0"/>
        <charset val="1"/>
      </rPr>
      <t xml:space="preserve">sticky</t>
    </r>
    <r>
      <rPr>
        <sz val="10"/>
        <rFont val="DejaVu Sans"/>
        <family val="2"/>
      </rPr>
      <t xml:space="preserve">가 있는데 또 오른쪽 </t>
    </r>
    <r>
      <rPr>
        <sz val="10"/>
        <rFont val="Arial"/>
        <family val="0"/>
        <charset val="1"/>
      </rPr>
      <t xml:space="preserve">sticky = NO</t>
    </r>
  </si>
  <si>
    <t xml:space="preserve">y_origin</t>
  </si>
  <si>
    <t xml:space="preserve">Q3</t>
  </si>
  <si>
    <r>
      <rPr>
        <sz val="10"/>
        <rFont val="Arial"/>
        <family val="0"/>
        <charset val="1"/>
      </rPr>
      <t xml:space="preserve">UX·</t>
    </r>
    <r>
      <rPr>
        <sz val="10"/>
        <rFont val="DejaVu Sans"/>
        <family val="2"/>
      </rPr>
      <t xml:space="preserve">비주얼 완성도</t>
    </r>
  </si>
  <si>
    <r>
      <rPr>
        <sz val="10"/>
        <rFont val="DejaVu Sans"/>
        <family val="2"/>
      </rPr>
      <t xml:space="preserve">반응형 안정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접근성 기본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정보 위계 명확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깨짐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오타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괴리 없음</t>
    </r>
  </si>
  <si>
    <r>
      <rPr>
        <sz val="10"/>
        <rFont val="DejaVu Sans"/>
        <family val="2"/>
      </rPr>
      <t xml:space="preserve">어느 하나라도 깨짐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모바일 조잡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오타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잘못된 정렬</t>
    </r>
  </si>
  <si>
    <r>
      <rPr>
        <sz val="10"/>
        <rFont val="DejaVu Sans"/>
        <family val="2"/>
      </rPr>
      <t xml:space="preserve">모바일 레이아웃 깨짐 없음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텍스트 위계 명확</t>
    </r>
  </si>
  <si>
    <t xml:space="preserve">y_polish</t>
  </si>
  <si>
    <t xml:space="preserve">Q4</t>
  </si>
  <si>
    <t xml:space="preserve">재현 가능성</t>
  </si>
  <si>
    <r>
      <rPr>
        <sz val="10"/>
        <rFont val="DejaVu Sans"/>
        <family val="2"/>
      </rPr>
      <t xml:space="preserve">우리 스택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정적 </t>
    </r>
    <r>
      <rPr>
        <sz val="10"/>
        <rFont val="Arial"/>
        <family val="0"/>
        <charset val="1"/>
      </rPr>
      <t xml:space="preserve">HTML + CSS Vars + Pretendard + Lucide + Formspree)</t>
    </r>
    <r>
      <rPr>
        <sz val="10"/>
        <rFont val="DejaVu Sans"/>
        <family val="2"/>
      </rPr>
      <t xml:space="preserve">으로 합리적 비용 내 재현</t>
    </r>
  </si>
  <si>
    <r>
      <rPr>
        <sz val="10"/>
        <rFont val="DejaVu Sans"/>
        <family val="2"/>
      </rPr>
      <t xml:space="preserve">특수 </t>
    </r>
    <r>
      <rPr>
        <sz val="10"/>
        <rFont val="Arial"/>
        <family val="0"/>
        <charset val="1"/>
      </rPr>
      <t xml:space="preserve">SDK/</t>
    </r>
    <r>
      <rPr>
        <sz val="10"/>
        <rFont val="DejaVu Sans"/>
        <family val="2"/>
      </rPr>
      <t xml:space="preserve">결제 통합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고비용 애니메이션 필수</t>
    </r>
  </si>
  <si>
    <r>
      <rPr>
        <sz val="10"/>
        <rFont val="DejaVu Sans"/>
        <family val="2"/>
      </rPr>
      <t xml:space="preserve">정적 </t>
    </r>
    <r>
      <rPr>
        <sz val="10"/>
        <rFont val="Arial"/>
        <family val="0"/>
        <charset val="1"/>
      </rPr>
      <t xml:space="preserve">HTML·CSS</t>
    </r>
    <r>
      <rPr>
        <sz val="10"/>
        <rFont val="DejaVu Sans"/>
        <family val="2"/>
      </rPr>
      <t xml:space="preserve">로 복제 가능한 레이아웃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폼</t>
    </r>
  </si>
  <si>
    <t xml:space="preserve">y_feasible</t>
  </si>
  <si>
    <r>
      <rPr>
        <b val="true"/>
        <sz val="11"/>
        <color rgb="FFFFFFFF"/>
        <rFont val="Arial"/>
        <family val="0"/>
        <charset val="1"/>
      </rPr>
      <t xml:space="preserve">Y </t>
    </r>
    <r>
      <rPr>
        <b val="true"/>
        <sz val="11"/>
        <color rgb="FFFFFFFF"/>
        <rFont val="DejaVu Sans"/>
        <family val="2"/>
      </rPr>
      <t xml:space="preserve">개수</t>
    </r>
  </si>
  <si>
    <t xml:space="preserve">등급</t>
  </si>
  <si>
    <r>
      <rPr>
        <b val="true"/>
        <sz val="11"/>
        <color rgb="FFFFFFFF"/>
        <rFont val="DejaVu Sans"/>
        <family val="2"/>
      </rPr>
      <t xml:space="preserve">정의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조치</t>
    </r>
  </si>
  <si>
    <t xml:space="preserve">4 / 4</t>
  </si>
  <si>
    <t xml:space="preserve">★★★★★</t>
  </si>
  <si>
    <r>
      <rPr>
        <sz val="10"/>
        <rFont val="DejaVu Sans"/>
        <family val="2"/>
      </rPr>
      <t xml:space="preserve">즉시 </t>
    </r>
    <r>
      <rPr>
        <sz val="10"/>
        <rFont val="Arial"/>
        <family val="0"/>
        <charset val="1"/>
      </rPr>
      <t xml:space="preserve">v2 </t>
    </r>
    <r>
      <rPr>
        <sz val="10"/>
        <rFont val="DejaVu Sans"/>
        <family val="2"/>
      </rPr>
      <t xml:space="preserve">라이브러리 채택 권고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그대로 </t>
    </r>
    <r>
      <rPr>
        <sz val="10"/>
        <rFont val="Arial"/>
        <family val="0"/>
        <charset val="1"/>
      </rPr>
      <t xml:space="preserve">variant </t>
    </r>
    <r>
      <rPr>
        <sz val="10"/>
        <rFont val="DejaVu Sans"/>
        <family val="2"/>
      </rPr>
      <t xml:space="preserve">템플릿 후보</t>
    </r>
    <r>
      <rPr>
        <sz val="10"/>
        <rFont val="Arial"/>
        <family val="0"/>
        <charset val="1"/>
      </rPr>
      <t xml:space="preserve">.</t>
    </r>
  </si>
  <si>
    <t xml:space="preserve">3 / 4</t>
  </si>
  <si>
    <t xml:space="preserve">★★★★</t>
  </si>
  <si>
    <r>
      <rPr>
        <sz val="10"/>
        <rFont val="DejaVu Sans"/>
        <family val="2"/>
      </rPr>
      <t xml:space="preserve">조건부 채택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부족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곳이 수정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대체 가능한 경우</t>
    </r>
    <r>
      <rPr>
        <sz val="10"/>
        <rFont val="Arial"/>
        <family val="0"/>
        <charset val="1"/>
      </rPr>
      <t xml:space="preserve">. [</t>
    </r>
    <r>
      <rPr>
        <sz val="10"/>
        <rFont val="DejaVu Sans"/>
        <family val="2"/>
      </rPr>
      <t xml:space="preserve">이유</t>
    </r>
    <r>
      <rPr>
        <sz val="10"/>
        <rFont val="Arial"/>
        <family val="0"/>
        <charset val="1"/>
      </rPr>
      <t xml:space="preserve">]</t>
    </r>
    <r>
      <rPr>
        <sz val="10"/>
        <rFont val="DejaVu Sans"/>
        <family val="2"/>
      </rPr>
      <t xml:space="preserve">에 수정 포인트 명기</t>
    </r>
    <r>
      <rPr>
        <sz val="10"/>
        <rFont val="Arial"/>
        <family val="0"/>
        <charset val="1"/>
      </rPr>
      <t xml:space="preserve">.</t>
    </r>
  </si>
  <si>
    <t xml:space="preserve">2 / 4</t>
  </si>
  <si>
    <t xml:space="preserve">★★★</t>
  </si>
  <si>
    <r>
      <rPr>
        <sz val="10"/>
        <rFont val="DejaVu Sans"/>
        <family val="2"/>
      </rPr>
      <t xml:space="preserve">참고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학습 수준</t>
    </r>
    <r>
      <rPr>
        <sz val="10"/>
        <rFont val="Arial"/>
        <family val="0"/>
        <charset val="1"/>
      </rPr>
      <t xml:space="preserve">. v2 </t>
    </r>
    <r>
      <rPr>
        <sz val="10"/>
        <rFont val="DejaVu Sans"/>
        <family val="2"/>
      </rPr>
      <t xml:space="preserve">후반</t>
    </r>
    <r>
      <rPr>
        <sz val="10"/>
        <rFont val="Arial"/>
        <family val="0"/>
        <charset val="1"/>
      </rPr>
      <t xml:space="preserve">·v3 </t>
    </r>
    <r>
      <rPr>
        <sz val="10"/>
        <rFont val="DejaVu Sans"/>
        <family val="2"/>
      </rPr>
      <t xml:space="preserve">재검토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지금은 채택 보류</t>
    </r>
    <r>
      <rPr>
        <sz val="10"/>
        <rFont val="Arial"/>
        <family val="0"/>
        <charset val="1"/>
      </rPr>
      <t xml:space="preserve">.</t>
    </r>
  </si>
  <si>
    <t xml:space="preserve">1 / 4</t>
  </si>
  <si>
    <t xml:space="preserve">★★</t>
  </si>
  <si>
    <r>
      <rPr>
        <sz val="10"/>
        <rFont val="DejaVu Sans"/>
        <family val="2"/>
      </rPr>
      <t xml:space="preserve">단편 요소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컬러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타이포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미세 </t>
    </r>
    <r>
      <rPr>
        <sz val="10"/>
        <rFont val="Arial"/>
        <family val="0"/>
        <charset val="1"/>
      </rPr>
      <t xml:space="preserve">UX)</t>
    </r>
    <r>
      <rPr>
        <sz val="10"/>
        <rFont val="DejaVu Sans"/>
        <family val="2"/>
      </rPr>
      <t xml:space="preserve">만 참고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프레임 자체는 비채택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</si>
  <si>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0 / 4 </t>
    </r>
    <r>
      <rPr>
        <sz val="10"/>
        <rFont val="DejaVu Sans"/>
        <family val="2"/>
      </rPr>
      <t xml:space="preserve">또는 다크패턴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허위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저작권</t>
    </r>
  </si>
  <si>
    <t xml:space="preserve">★</t>
  </si>
  <si>
    <r>
      <rPr>
        <sz val="10"/>
        <rFont val="DejaVu Sans"/>
        <family val="2"/>
      </rPr>
      <t xml:space="preserve">기록 보존용 제외 대상</t>
    </r>
    <r>
      <rPr>
        <sz val="10"/>
        <rFont val="Arial"/>
        <family val="0"/>
        <charset val="1"/>
      </rPr>
      <t xml:space="preserve">. reject_reason </t>
    </r>
    <r>
      <rPr>
        <sz val="10"/>
        <rFont val="DejaVu Sans"/>
        <family val="2"/>
      </rPr>
      <t xml:space="preserve">필수 기재</t>
    </r>
    <r>
      <rPr>
        <sz val="10"/>
        <rFont val="Arial"/>
        <family val="0"/>
        <charset val="1"/>
      </rPr>
      <t xml:space="preserve">.</t>
    </r>
  </si>
  <si>
    <r>
      <rPr>
        <i val="true"/>
        <sz val="9"/>
        <color rgb="FF595959"/>
        <rFont val="DejaVu Sans"/>
        <family val="2"/>
      </rPr>
      <t xml:space="preserve">※ ★★★★★ 가 전체의 </t>
    </r>
    <r>
      <rPr>
        <i val="true"/>
        <sz val="9"/>
        <color rgb="FF595959"/>
        <rFont val="Arial"/>
        <family val="0"/>
        <charset val="1"/>
      </rPr>
      <t xml:space="preserve">30% </t>
    </r>
    <r>
      <rPr>
        <i val="true"/>
        <sz val="9"/>
        <color rgb="FF595959"/>
        <rFont val="DejaVu Sans"/>
        <family val="2"/>
      </rPr>
      <t xml:space="preserve">를 넘으면 평가 기준이 느슨한 것</t>
    </r>
    <r>
      <rPr>
        <i val="true"/>
        <sz val="9"/>
        <color rgb="FF595959"/>
        <rFont val="Arial"/>
        <family val="0"/>
        <charset val="1"/>
      </rPr>
      <t xml:space="preserve">. PM </t>
    </r>
    <r>
      <rPr>
        <i val="true"/>
        <sz val="9"/>
        <color rgb="FF595959"/>
        <rFont val="DejaVu Sans"/>
        <family val="2"/>
      </rPr>
      <t xml:space="preserve">재검수 요청 대상</t>
    </r>
    <r>
      <rPr>
        <i val="true"/>
        <sz val="9"/>
        <color rgb="FF595959"/>
        <rFont val="Arial"/>
        <family val="0"/>
        <charset val="1"/>
      </rPr>
      <t xml:space="preserve">.
※ 같은 브랜드의 같은 variant </t>
    </r>
    <r>
      <rPr>
        <i val="true"/>
        <sz val="9"/>
        <color rgb="FF595959"/>
        <rFont val="DejaVu Sans"/>
        <family val="2"/>
      </rPr>
      <t xml:space="preserve">가 이미 있으면 </t>
    </r>
    <r>
      <rPr>
        <i val="true"/>
        <sz val="9"/>
        <color rgb="FF595959"/>
        <rFont val="Arial"/>
        <family val="0"/>
        <charset val="1"/>
      </rPr>
      <t xml:space="preserve">2</t>
    </r>
    <r>
      <rPr>
        <i val="true"/>
        <sz val="9"/>
        <color rgb="FF595959"/>
        <rFont val="DejaVu Sans"/>
        <family val="2"/>
      </rPr>
      <t xml:space="preserve">번째는 자동 ★★ 이하로 하향 </t>
    </r>
    <r>
      <rPr>
        <i val="true"/>
        <sz val="9"/>
        <color rgb="FF595959"/>
        <rFont val="Arial"/>
        <family val="0"/>
        <charset val="1"/>
      </rPr>
      <t xml:space="preserve">(Q2 </t>
    </r>
    <r>
      <rPr>
        <i val="true"/>
        <sz val="9"/>
        <color rgb="FF595959"/>
        <rFont val="DejaVu Sans"/>
        <family val="2"/>
      </rPr>
      <t xml:space="preserve">자동 </t>
    </r>
    <r>
      <rPr>
        <i val="true"/>
        <sz val="9"/>
        <color rgb="FF595959"/>
        <rFont val="Arial"/>
        <family val="0"/>
        <charset val="1"/>
      </rPr>
      <t xml:space="preserve">NO).
※ ★ 항목은 반드시 reject_reason </t>
    </r>
    <r>
      <rPr>
        <i val="true"/>
        <sz val="9"/>
        <color rgb="FF595959"/>
        <rFont val="DejaVu Sans"/>
        <family val="2"/>
      </rPr>
      <t xml:space="preserve">중 하나 기재</t>
    </r>
    <r>
      <rPr>
        <i val="true"/>
        <sz val="9"/>
        <color rgb="FF595959"/>
        <rFont val="Arial"/>
        <family val="0"/>
        <charset val="1"/>
      </rPr>
      <t xml:space="preserve">: darkpattern / copyright / legal / obsolete / unverified_claim / other</t>
    </r>
  </si>
  <si>
    <r>
      <rPr>
        <b val="true"/>
        <sz val="11"/>
        <color rgb="FF1F4E78"/>
        <rFont val="Arial"/>
        <family val="0"/>
        <charset val="1"/>
      </rPr>
      <t xml:space="preserve">3. </t>
    </r>
    <r>
      <rPr>
        <b val="true"/>
        <sz val="11"/>
        <color rgb="FF1F4E78"/>
        <rFont val="DejaVu Sans"/>
        <family val="2"/>
      </rPr>
      <t xml:space="preserve">채택안 분류 </t>
    </r>
    <r>
      <rPr>
        <b val="true"/>
        <sz val="11"/>
        <color rgb="FF1F4E78"/>
        <rFont val="Arial"/>
        <family val="0"/>
        <charset val="1"/>
      </rPr>
      <t xml:space="preserve">(adopted)</t>
    </r>
  </si>
  <si>
    <t xml:space="preserve">값</t>
  </si>
  <si>
    <t xml:space="preserve">의미</t>
  </si>
  <si>
    <t xml:space="preserve">조건</t>
  </si>
  <si>
    <t xml:space="preserve">Yes</t>
  </si>
  <si>
    <r>
      <rPr>
        <sz val="10"/>
        <rFont val="Arial"/>
        <family val="0"/>
        <charset val="1"/>
      </rPr>
      <t xml:space="preserve">v2 </t>
    </r>
    <r>
      <rPr>
        <sz val="10"/>
        <rFont val="DejaVu Sans"/>
        <family val="2"/>
      </rPr>
      <t xml:space="preserve">라이브러리 직행 후보</t>
    </r>
  </si>
  <si>
    <t xml:space="preserve">★★★★★ 또는 ★★★★ 중 수정 포인트 확정</t>
  </si>
  <si>
    <t xml:space="preserve">조건부</t>
  </si>
  <si>
    <r>
      <rPr>
        <sz val="10"/>
        <rFont val="Arial"/>
        <family val="0"/>
        <charset val="1"/>
      </rPr>
      <t xml:space="preserve">PM </t>
    </r>
    <r>
      <rPr>
        <sz val="10"/>
        <rFont val="DejaVu Sans"/>
        <family val="2"/>
      </rPr>
      <t xml:space="preserve">협의 후 결정</t>
    </r>
  </si>
  <si>
    <r>
      <rPr>
        <sz val="10"/>
        <rFont val="DejaVu Sans"/>
        <family val="2"/>
      </rPr>
      <t xml:space="preserve">★★★★ 이면서 수정 포인트 존재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법무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저작권 검토 필요</t>
    </r>
  </si>
  <si>
    <t xml:space="preserve">No</t>
  </si>
  <si>
    <t xml:space="preserve">제외</t>
  </si>
  <si>
    <r>
      <rPr>
        <sz val="10"/>
        <rFont val="DejaVu Sans"/>
        <family val="2"/>
      </rPr>
      <t xml:space="preserve">★★★ 이하 또는 하드 </t>
    </r>
    <r>
      <rPr>
        <sz val="10"/>
        <rFont val="Arial"/>
        <family val="0"/>
        <charset val="1"/>
      </rPr>
      <t xml:space="preserve">NO (</t>
    </r>
    <r>
      <rPr>
        <sz val="10"/>
        <rFont val="DejaVu Sans"/>
        <family val="2"/>
      </rPr>
      <t xml:space="preserve">다크패턴 등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</si>
  <si>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color rgb="FF1F4E78"/>
        <rFont val="Arial"/>
        <family val="0"/>
        <charset val="1"/>
      </rPr>
      <t xml:space="preserve">4. Hard NOs (</t>
    </r>
    <r>
      <rPr>
        <b val="true"/>
        <sz val="11"/>
        <color rgb="FF1F4E78"/>
        <rFont val="DejaVu Sans"/>
        <family val="2"/>
      </rPr>
      <t xml:space="preserve">브리프 </t>
    </r>
    <r>
      <rPr>
        <b val="true"/>
        <sz val="11"/>
        <color rgb="FF1F4E78"/>
        <rFont val="Arial"/>
        <family val="0"/>
        <charset val="1"/>
      </rPr>
      <t xml:space="preserve">§7)</t>
    </r>
  </si>
  <si>
    <r>
      <rPr>
        <sz val="10"/>
        <rFont val="DejaVu Sans"/>
        <family val="2"/>
      </rPr>
      <t xml:space="preserve">• 카피캣 금지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픽셀 단위 복제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레이아웃 그대로 베끼기는 저작권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상표권 위반 소지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구조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패턴 참고만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</si>
  <si>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• 실제 브랜드 로고 사용 금지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보드에는 스크린샷으로만 존재</t>
    </r>
    <r>
      <rPr>
        <sz val="10"/>
        <rFont val="Arial"/>
        <family val="0"/>
        <charset val="1"/>
      </rPr>
      <t xml:space="preserve">. v1.0 </t>
    </r>
    <r>
      <rPr>
        <sz val="10"/>
        <rFont val="DejaVu Sans"/>
        <family val="2"/>
      </rPr>
      <t xml:space="preserve">구현에 실 로고 이식 금지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</si>
  <si>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• 다크패턴 참고 제외</t>
    </r>
    <r>
      <rPr>
        <sz val="10"/>
        <rFont val="Arial"/>
        <family val="0"/>
        <charset val="1"/>
      </rPr>
      <t xml:space="preserve">: 'X </t>
    </r>
    <r>
      <rPr>
        <sz val="10"/>
        <rFont val="DejaVu Sans"/>
        <family val="2"/>
      </rPr>
      <t xml:space="preserve">버튼 숨김</t>
    </r>
    <r>
      <rPr>
        <sz val="10"/>
        <rFont val="Arial"/>
        <family val="0"/>
        <charset val="1"/>
      </rPr>
      <t xml:space="preserve">', '</t>
    </r>
    <r>
      <rPr>
        <sz val="10"/>
        <rFont val="DejaVu Sans"/>
        <family val="2"/>
      </rPr>
      <t xml:space="preserve">취소 버튼 색상 약화</t>
    </r>
    <r>
      <rPr>
        <sz val="10"/>
        <rFont val="Arial"/>
        <family val="0"/>
        <charset val="1"/>
      </rPr>
      <t xml:space="preserve">' </t>
    </r>
    <r>
      <rPr>
        <sz val="10"/>
        <rFont val="DejaVu Sans"/>
        <family val="2"/>
      </rPr>
      <t xml:space="preserve">등은 </t>
    </r>
    <r>
      <rPr>
        <sz val="10"/>
        <rFont val="Arial"/>
        <family val="0"/>
        <charset val="1"/>
      </rPr>
      <t xml:space="preserve">darkpattern </t>
    </r>
    <r>
      <rPr>
        <sz val="10"/>
        <rFont val="DejaVu Sans"/>
        <family val="2"/>
      </rPr>
      <t xml:space="preserve">태그로 제외 권고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</si>
  <si>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• 저작권 이미지 저장 금지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고객 후기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상담사 사진은 캡처 시 모자이크 필수</t>
    </r>
    <r>
      <rPr>
        <sz val="10"/>
        <rFont val="Arial"/>
        <family val="0"/>
        <charset val="1"/>
      </rPr>
      <t xml:space="preserve">.</t>
    </r>
  </si>
  <si>
    <r>
      <rPr>
        <sz val="10"/>
        <rFont val="DejaVu Sans"/>
        <family val="2"/>
      </rPr>
      <t xml:space="preserve">• 확인되지 않은 주장 포함 금지</t>
    </r>
    <r>
      <rPr>
        <sz val="10"/>
        <rFont val="Arial"/>
        <family val="0"/>
        <charset val="1"/>
      </rPr>
      <t xml:space="preserve">: '</t>
    </r>
    <r>
      <rPr>
        <sz val="10"/>
        <rFont val="DejaVu Sans"/>
        <family val="2"/>
      </rPr>
      <t xml:space="preserve">업계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위</t>
    </r>
    <r>
      <rPr>
        <sz val="10"/>
        <rFont val="Arial"/>
        <family val="0"/>
        <charset val="1"/>
      </rPr>
      <t xml:space="preserve">'·'</t>
    </r>
    <r>
      <rPr>
        <sz val="10"/>
        <rFont val="DejaVu Sans"/>
        <family val="2"/>
      </rPr>
      <t xml:space="preserve">만족도 </t>
    </r>
    <r>
      <rPr>
        <sz val="10"/>
        <rFont val="Arial"/>
        <family val="0"/>
        <charset val="1"/>
      </rPr>
      <t xml:space="preserve">N%' </t>
    </r>
    <r>
      <rPr>
        <sz val="10"/>
        <rFont val="DejaVu Sans"/>
        <family val="2"/>
      </rPr>
      <t xml:space="preserve">수치는 출처 없으면 </t>
    </r>
    <r>
      <rPr>
        <sz val="10"/>
        <rFont val="Arial"/>
        <family val="0"/>
        <charset val="1"/>
      </rPr>
      <t xml:space="preserve">unverified_claim </t>
    </r>
    <r>
      <rPr>
        <sz val="10"/>
        <rFont val="DejaVu Sans"/>
        <family val="2"/>
      </rPr>
      <t xml:space="preserve">태그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</si>
  <si>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color rgb="FF1F4E78"/>
        <rFont val="Arial"/>
        <family val="0"/>
        <charset val="1"/>
      </rPr>
      <t xml:space="preserve">5. </t>
    </r>
    <r>
      <rPr>
        <b val="true"/>
        <sz val="11"/>
        <color rgb="FF1F4E78"/>
        <rFont val="DejaVu Sans"/>
        <family val="2"/>
      </rPr>
      <t xml:space="preserve">시트 안내</t>
    </r>
  </si>
  <si>
    <t xml:space="preserve">시트</t>
  </si>
  <si>
    <t xml:space="preserve">용도</t>
  </si>
  <si>
    <r>
      <rPr>
        <b val="true"/>
        <sz val="11"/>
        <color rgb="FFFFFFFF"/>
        <rFont val="DejaVu Sans"/>
        <family val="2"/>
      </rPr>
      <t xml:space="preserve">핵심 열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기능</t>
    </r>
  </si>
  <si>
    <t xml:space="preserve">Brands</t>
  </si>
  <si>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개 대상 브랜드 리스트</t>
    </r>
  </si>
  <si>
    <r>
      <rPr>
        <sz val="10"/>
        <rFont val="DejaVu Sans"/>
        <family val="2"/>
      </rPr>
      <t xml:space="preserve">군</t>
    </r>
    <r>
      <rPr>
        <sz val="10"/>
        <rFont val="Arial"/>
        <family val="0"/>
        <charset val="1"/>
      </rPr>
      <t xml:space="preserve">(A/B/C) · </t>
    </r>
    <r>
      <rPr>
        <sz val="10"/>
        <rFont val="DejaVu Sans"/>
        <family val="2"/>
      </rPr>
      <t xml:space="preserve">우선순위</t>
    </r>
    <r>
      <rPr>
        <sz val="10"/>
        <rFont val="Arial"/>
        <family val="0"/>
        <charset val="1"/>
      </rPr>
      <t xml:space="preserve">(★) · URL · </t>
    </r>
    <r>
      <rPr>
        <sz val="10"/>
        <rFont val="DejaVu Sans"/>
        <family val="2"/>
      </rPr>
      <t xml:space="preserve">캡처 가능 여부</t>
    </r>
  </si>
  <si>
    <t xml:space="preserve">Sections</t>
  </si>
  <si>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개 섹션 라이브러리</t>
    </r>
  </si>
  <si>
    <r>
      <rPr>
        <sz val="10"/>
        <rFont val="DejaVu Sans"/>
        <family val="2"/>
      </rPr>
      <t xml:space="preserve">섹션명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변형 축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수집 목표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필수 태그</t>
    </r>
  </si>
  <si>
    <t xml:space="preserve">Tags</t>
  </si>
  <si>
    <r>
      <rPr>
        <sz val="10"/>
        <rFont val="DejaVu Sans"/>
        <family val="2"/>
      </rPr>
      <t xml:space="preserve">태그 </t>
    </r>
    <r>
      <rPr>
        <sz val="10"/>
        <rFont val="Arial"/>
        <family val="0"/>
        <charset val="1"/>
      </rPr>
      <t xml:space="preserve">enum </t>
    </r>
    <r>
      <rPr>
        <sz val="10"/>
        <rFont val="DejaVu Sans"/>
        <family val="2"/>
      </rPr>
      <t xml:space="preserve">사전</t>
    </r>
  </si>
  <si>
    <r>
      <rPr>
        <sz val="10"/>
        <rFont val="DejaVu Sans"/>
        <family val="2"/>
      </rPr>
      <t xml:space="preserve">섹션별 허용 </t>
    </r>
    <r>
      <rPr>
        <sz val="10"/>
        <rFont val="Arial"/>
        <family val="0"/>
        <charset val="1"/>
      </rPr>
      <t xml:space="preserve">enum </t>
    </r>
    <r>
      <rPr>
        <sz val="10"/>
        <rFont val="DejaVu Sans"/>
        <family val="2"/>
      </rPr>
      <t xml:space="preserve">값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오타 방지</t>
    </r>
    <r>
      <rPr>
        <sz val="10"/>
        <rFont val="Arial"/>
        <family val="0"/>
        <charset val="1"/>
      </rPr>
      <t xml:space="preserve">)</t>
    </r>
  </si>
  <si>
    <t xml:space="preserve">Queue</t>
  </si>
  <si>
    <r>
      <rPr>
        <sz val="10"/>
        <rFont val="DejaVu Sans"/>
        <family val="2"/>
      </rPr>
      <t xml:space="preserve">브랜드 </t>
    </r>
    <r>
      <rPr>
        <sz val="10"/>
        <rFont val="Arial"/>
        <family val="0"/>
        <charset val="1"/>
      </rPr>
      <t xml:space="preserve">× </t>
    </r>
    <r>
      <rPr>
        <sz val="10"/>
        <rFont val="DejaVu Sans"/>
        <family val="2"/>
      </rPr>
      <t xml:space="preserve">섹션 </t>
    </r>
    <r>
      <rPr>
        <sz val="10"/>
        <rFont val="Arial"/>
        <family val="0"/>
        <charset val="1"/>
      </rPr>
      <t xml:space="preserve">18×16 </t>
    </r>
    <r>
      <rPr>
        <sz val="10"/>
        <rFont val="DejaVu Sans"/>
        <family val="2"/>
      </rPr>
      <t xml:space="preserve">매트릭스</t>
    </r>
  </si>
  <si>
    <r>
      <rPr>
        <sz val="10"/>
        <rFont val="DejaVu Sans"/>
        <family val="2"/>
      </rPr>
      <t xml:space="preserve">셀 값</t>
    </r>
    <r>
      <rPr>
        <sz val="10"/>
        <rFont val="Arial"/>
        <family val="0"/>
        <charset val="1"/>
      </rPr>
      <t xml:space="preserve">: - / todo / done / skip(</t>
    </r>
    <r>
      <rPr>
        <sz val="10"/>
        <rFont val="DejaVu Sans"/>
        <family val="2"/>
      </rPr>
      <t xml:space="preserve">이유</t>
    </r>
    <r>
      <rPr>
        <sz val="10"/>
        <rFont val="Arial"/>
        <family val="0"/>
        <charset val="1"/>
      </rPr>
      <t xml:space="preserve">)</t>
    </r>
  </si>
  <si>
    <t xml:space="preserve">Captures</t>
  </si>
  <si>
    <r>
      <rPr>
        <sz val="10"/>
        <rFont val="DejaVu Sans"/>
        <family val="2"/>
      </rPr>
      <t xml:space="preserve">수집 로그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행당 </t>
    </r>
    <r>
      <rPr>
        <sz val="10"/>
        <rFont val="Arial"/>
        <family val="0"/>
        <charset val="1"/>
      </rPr>
      <t xml:space="preserve">1 variant)</t>
    </r>
  </si>
  <si>
    <r>
      <rPr>
        <sz val="10"/>
        <rFont val="DejaVu Sans"/>
        <family val="2"/>
      </rPr>
      <t xml:space="preserve">루브릭 </t>
    </r>
    <r>
      <rPr>
        <sz val="10"/>
        <rFont val="Arial"/>
        <family val="0"/>
        <charset val="1"/>
      </rPr>
      <t xml:space="preserve">Y/N → ★ </t>
    </r>
    <r>
      <rPr>
        <sz val="10"/>
        <rFont val="DejaVu Sans"/>
        <family val="2"/>
      </rPr>
      <t xml:space="preserve">자동 </t>
    </r>
    <r>
      <rPr>
        <sz val="10"/>
        <rFont val="Arial"/>
        <family val="0"/>
        <charset val="1"/>
      </rPr>
      <t xml:space="preserve">· adopted · reject_reason</t>
    </r>
  </si>
  <si>
    <t xml:space="preserve">QA</t>
  </si>
  <si>
    <r>
      <rPr>
        <sz val="10"/>
        <rFont val="DejaVu Sans"/>
        <family val="2"/>
      </rPr>
      <t xml:space="preserve">자동 집계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경고</t>
    </r>
  </si>
  <si>
    <r>
      <rPr>
        <sz val="10"/>
        <rFont val="DejaVu Sans"/>
        <family val="2"/>
      </rPr>
      <t xml:space="preserve">섹션별 진척 </t>
    </r>
    <r>
      <rPr>
        <sz val="10"/>
        <rFont val="Arial"/>
        <family val="0"/>
        <charset val="1"/>
      </rPr>
      <t xml:space="preserve">· ★★★★★ </t>
    </r>
    <r>
      <rPr>
        <sz val="10"/>
        <rFont val="DejaVu Sans"/>
        <family val="2"/>
      </rPr>
      <t xml:space="preserve">비율 </t>
    </r>
    <r>
      <rPr>
        <sz val="10"/>
        <rFont val="Arial"/>
        <family val="0"/>
        <charset val="1"/>
      </rPr>
      <t xml:space="preserve">· </t>
    </r>
    <r>
      <rPr>
        <sz val="10"/>
        <rFont val="DejaVu Sans"/>
        <family val="2"/>
      </rPr>
      <t xml:space="preserve">중복 </t>
    </r>
    <r>
      <rPr>
        <sz val="10"/>
        <rFont val="Arial"/>
        <family val="0"/>
        <charset val="1"/>
      </rPr>
      <t xml:space="preserve">variant · 16</t>
    </r>
    <r>
      <rPr>
        <sz val="10"/>
        <rFont val="DejaVu Sans"/>
        <family val="2"/>
      </rPr>
      <t xml:space="preserve">체크</t>
    </r>
  </si>
  <si>
    <r>
      <rPr>
        <b val="true"/>
        <sz val="14"/>
        <color rgb="FF0F2A44"/>
        <rFont val="Arial"/>
        <family val="0"/>
        <charset val="1"/>
      </rPr>
      <t xml:space="preserve">Brands — </t>
    </r>
    <r>
      <rPr>
        <b val="true"/>
        <sz val="14"/>
        <color rgb="FF0F2A44"/>
        <rFont val="DejaVu Sans"/>
        <family val="2"/>
      </rPr>
      <t xml:space="preserve">대상 브랜드 </t>
    </r>
    <r>
      <rPr>
        <b val="true"/>
        <sz val="14"/>
        <color rgb="FF0F2A44"/>
        <rFont val="Arial"/>
        <family val="0"/>
        <charset val="1"/>
      </rPr>
      <t xml:space="preserve">18</t>
    </r>
    <r>
      <rPr>
        <b val="true"/>
        <sz val="14"/>
        <color rgb="FF0F2A44"/>
        <rFont val="DejaVu Sans"/>
        <family val="2"/>
      </rPr>
      <t xml:space="preserve">개사</t>
    </r>
  </si>
  <si>
    <r>
      <rPr>
        <i val="true"/>
        <sz val="9"/>
        <color rgb="FF595959"/>
        <rFont val="Arial"/>
        <family val="0"/>
        <charset val="1"/>
      </rPr>
      <t xml:space="preserve">A</t>
    </r>
    <r>
      <rPr>
        <i val="true"/>
        <sz val="9"/>
        <color rgb="FF595959"/>
        <rFont val="DejaVu Sans"/>
        <family val="2"/>
      </rPr>
      <t xml:space="preserve">군 </t>
    </r>
    <r>
      <rPr>
        <i val="true"/>
        <sz val="9"/>
        <color rgb="FF595959"/>
        <rFont val="Arial"/>
        <family val="0"/>
        <charset val="1"/>
      </rPr>
      <t xml:space="preserve">GA/</t>
    </r>
    <r>
      <rPr>
        <i val="true"/>
        <sz val="9"/>
        <color rgb="FF595959"/>
        <rFont val="DejaVu Sans"/>
        <family val="2"/>
      </rPr>
      <t xml:space="preserve">비교 </t>
    </r>
    <r>
      <rPr>
        <i val="true"/>
        <sz val="9"/>
        <color rgb="FF595959"/>
        <rFont val="Arial"/>
        <family val="0"/>
        <charset val="1"/>
      </rPr>
      <t xml:space="preserve">8 + B</t>
    </r>
    <r>
      <rPr>
        <i val="true"/>
        <sz val="9"/>
        <color rgb="FF595959"/>
        <rFont val="DejaVu Sans"/>
        <family val="2"/>
      </rPr>
      <t xml:space="preserve">군 직영 </t>
    </r>
    <r>
      <rPr>
        <i val="true"/>
        <sz val="9"/>
        <color rgb="FF595959"/>
        <rFont val="Arial"/>
        <family val="0"/>
        <charset val="1"/>
      </rPr>
      <t xml:space="preserve">7 + C</t>
    </r>
    <r>
      <rPr>
        <i val="true"/>
        <sz val="9"/>
        <color rgb="FF595959"/>
        <rFont val="DejaVu Sans"/>
        <family val="2"/>
      </rPr>
      <t xml:space="preserve">군 핀테크 </t>
    </r>
    <r>
      <rPr>
        <i val="true"/>
        <sz val="9"/>
        <color rgb="FF595959"/>
        <rFont val="Arial"/>
        <family val="0"/>
        <charset val="1"/>
      </rPr>
      <t xml:space="preserve">3  ·  </t>
    </r>
    <r>
      <rPr>
        <i val="true"/>
        <sz val="9"/>
        <color rgb="FF595959"/>
        <rFont val="DejaVu Sans"/>
        <family val="2"/>
      </rPr>
      <t xml:space="preserve">캡처 불가 시 대체 후보 컬럼의 브랜드로 대체 후 </t>
    </r>
    <r>
      <rPr>
        <i val="true"/>
        <sz val="9"/>
        <color rgb="FF595959"/>
        <rFont val="Arial"/>
        <family val="0"/>
        <charset val="1"/>
      </rPr>
      <t xml:space="preserve">PM </t>
    </r>
    <r>
      <rPr>
        <i val="true"/>
        <sz val="9"/>
        <color rgb="FF595959"/>
        <rFont val="DejaVu Sans"/>
        <family val="2"/>
      </rPr>
      <t xml:space="preserve">승인</t>
    </r>
  </si>
  <si>
    <t xml:space="preserve">군</t>
  </si>
  <si>
    <t xml:space="preserve">우선</t>
  </si>
  <si>
    <t xml:space="preserve">브랜드</t>
  </si>
  <si>
    <t xml:space="preserve">도메인</t>
  </si>
  <si>
    <t xml:space="preserve">URL</t>
  </si>
  <si>
    <t xml:space="preserve">주요 섹션 힌트</t>
  </si>
  <si>
    <t xml:space="preserve">캡처 리스크</t>
  </si>
  <si>
    <t xml:space="preserve">대체 후보</t>
  </si>
  <si>
    <t xml:space="preserve">A</t>
  </si>
  <si>
    <t xml:space="preserve">키움에셋플래너</t>
  </si>
  <si>
    <t xml:space="preserve">kiwoomasset.com</t>
  </si>
  <si>
    <t xml:space="preserve">https://www.kiwoomasset.com</t>
  </si>
  <si>
    <r>
      <rPr>
        <sz val="10"/>
        <rFont val="Arial"/>
        <family val="0"/>
        <charset val="1"/>
      </rPr>
      <t xml:space="preserve">Hero, </t>
    </r>
    <r>
      <rPr>
        <sz val="10"/>
        <rFont val="DejaVu Sans"/>
        <family val="2"/>
      </rPr>
      <t xml:space="preserve">리드폼</t>
    </r>
    <r>
      <rPr>
        <sz val="10"/>
        <rFont val="Arial"/>
        <family val="0"/>
        <charset val="1"/>
      </rPr>
      <t xml:space="preserve">(right_sticky), </t>
    </r>
    <r>
      <rPr>
        <sz val="10"/>
        <rFont val="DejaVu Sans"/>
        <family val="2"/>
      </rPr>
      <t xml:space="preserve">수치카드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상품카드</t>
    </r>
    <r>
      <rPr>
        <sz val="10"/>
        <rFont val="Arial"/>
        <family val="0"/>
        <charset val="1"/>
      </rPr>
      <t xml:space="preserve">, FAQ, Footer</t>
    </r>
  </si>
  <si>
    <r>
      <rPr>
        <sz val="10"/>
        <rFont val="DejaVu Sans"/>
        <family val="2"/>
      </rPr>
      <t xml:space="preserve">낮음 </t>
    </r>
    <r>
      <rPr>
        <sz val="10"/>
        <rFont val="Arial"/>
        <family val="0"/>
        <charset val="1"/>
      </rPr>
      <t xml:space="preserve">(03 </t>
    </r>
    <r>
      <rPr>
        <sz val="10"/>
        <rFont val="DejaVu Sans"/>
        <family val="2"/>
      </rPr>
      <t xml:space="preserve">벤치마킹 커버</t>
    </r>
    <r>
      <rPr>
        <sz val="10"/>
        <rFont val="Arial"/>
        <family val="0"/>
        <charset val="1"/>
      </rPr>
      <t xml:space="preserve">)</t>
    </r>
  </si>
  <si>
    <t xml:space="preserve">-</t>
  </si>
  <si>
    <t xml:space="preserve">메타리치</t>
  </si>
  <si>
    <t xml:space="preserve">metarich.co.kr</t>
  </si>
  <si>
    <t xml:space="preserve">https://www.metarich.co.kr</t>
  </si>
  <si>
    <r>
      <rPr>
        <sz val="10"/>
        <rFont val="Arial"/>
        <family val="0"/>
        <charset val="1"/>
      </rPr>
      <t xml:space="preserve">Hero, </t>
    </r>
    <r>
      <rPr>
        <sz val="10"/>
        <rFont val="DejaVu Sans"/>
        <family val="2"/>
      </rPr>
      <t xml:space="preserve">로고월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생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손 분리</t>
    </r>
    <r>
      <rPr>
        <sz val="10"/>
        <rFont val="Arial"/>
        <family val="0"/>
        <charset val="1"/>
      </rPr>
      <t xml:space="preserve">), </t>
    </r>
    <r>
      <rPr>
        <sz val="10"/>
        <rFont val="DejaVu Sans"/>
        <family val="2"/>
      </rPr>
      <t xml:space="preserve">상담사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상품카드</t>
    </r>
    <r>
      <rPr>
        <sz val="10"/>
        <rFont val="Arial"/>
        <family val="0"/>
        <charset val="1"/>
      </rPr>
      <t xml:space="preserve">, Footer</t>
    </r>
  </si>
  <si>
    <t xml:space="preserve">굿리치</t>
  </si>
  <si>
    <t xml:space="preserve">goodrich.co.kr</t>
  </si>
  <si>
    <t xml:space="preserve">https://goodrich.co.kr</t>
  </si>
  <si>
    <r>
      <rPr>
        <sz val="10"/>
        <rFont val="Arial"/>
        <family val="0"/>
        <charset val="1"/>
      </rPr>
      <t xml:space="preserve">Hero, </t>
    </r>
    <r>
      <rPr>
        <sz val="10"/>
        <rFont val="DejaVu Sans"/>
        <family val="2"/>
      </rPr>
      <t xml:space="preserve">리드폼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수치카드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상품카드</t>
    </r>
    <r>
      <rPr>
        <sz val="10"/>
        <rFont val="Arial"/>
        <family val="0"/>
        <charset val="1"/>
      </rPr>
      <t xml:space="preserve">, FAQ</t>
    </r>
  </si>
  <si>
    <r>
      <rPr>
        <sz val="10"/>
        <rFont val="DejaVu Sans"/>
        <family val="2"/>
      </rPr>
      <t xml:space="preserve">중간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앱 유도 강할 수 있음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</si>
  <si>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보험</t>
    </r>
    <r>
      <rPr>
        <sz val="10"/>
        <rFont val="Arial"/>
        <family val="0"/>
        <charset val="1"/>
      </rPr>
      <t xml:space="preserve">365</t>
    </r>
  </si>
  <si>
    <t xml:space="preserve">보험다모아</t>
  </si>
  <si>
    <t xml:space="preserve">e-insmarket.or.kr</t>
  </si>
  <si>
    <t xml:space="preserve">https://e-insmarket.or.kr</t>
  </si>
  <si>
    <r>
      <rPr>
        <sz val="10"/>
        <rFont val="DejaVu Sans"/>
        <family val="2"/>
      </rPr>
      <t xml:space="preserve">비교 카드</t>
    </r>
    <r>
      <rPr>
        <sz val="10"/>
        <rFont val="Arial"/>
        <family val="0"/>
        <charset val="1"/>
      </rPr>
      <t xml:space="preserve">, FAQ, Footer (</t>
    </r>
    <r>
      <rPr>
        <sz val="10"/>
        <rFont val="DejaVu Sans"/>
        <family val="2"/>
      </rPr>
      <t xml:space="preserve">공식 비교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</si>
  <si>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중간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공공 </t>
    </r>
    <r>
      <rPr>
        <sz val="10"/>
        <rFont val="Arial"/>
        <family val="0"/>
        <charset val="1"/>
      </rPr>
      <t xml:space="preserve">UI, </t>
    </r>
    <r>
      <rPr>
        <sz val="10"/>
        <rFont val="DejaVu Sans"/>
        <family val="2"/>
      </rPr>
      <t xml:space="preserve">간헐 캐시</t>
    </r>
    <r>
      <rPr>
        <sz val="10"/>
        <rFont val="Arial"/>
        <family val="0"/>
        <charset val="1"/>
      </rPr>
      <t xml:space="preserve">)</t>
    </r>
  </si>
  <si>
    <t xml:space="preserve">공시실</t>
  </si>
  <si>
    <t xml:space="preserve">내보험찾아줌</t>
  </si>
  <si>
    <t xml:space="preserve">cont.credit4u.or.kr</t>
  </si>
  <si>
    <t xml:space="preserve">https://cont.credit4u.or.kr</t>
  </si>
  <si>
    <r>
      <rPr>
        <sz val="10"/>
        <rFont val="Arial"/>
        <family val="0"/>
        <charset val="1"/>
      </rPr>
      <t xml:space="preserve">Hero, </t>
    </r>
    <r>
      <rPr>
        <sz val="10"/>
        <rFont val="DejaVu Sans"/>
        <family val="2"/>
      </rPr>
      <t xml:space="preserve">단계 프로세스</t>
    </r>
    <r>
      <rPr>
        <sz val="10"/>
        <rFont val="Arial"/>
        <family val="0"/>
        <charset val="1"/>
      </rPr>
      <t xml:space="preserve">, FAQ, Footer (</t>
    </r>
    <r>
      <rPr>
        <sz val="10"/>
        <rFont val="DejaVu Sans"/>
        <family val="2"/>
      </rPr>
      <t xml:space="preserve">공공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</si>
  <si>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중간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약관 동의 게이트</t>
    </r>
    <r>
      <rPr>
        <sz val="10"/>
        <rFont val="Arial"/>
        <family val="0"/>
        <charset val="1"/>
      </rPr>
      <t xml:space="preserve">)</t>
    </r>
  </si>
  <si>
    <t xml:space="preserve">cmap.koica</t>
  </si>
  <si>
    <t xml:space="preserve">보맵</t>
  </si>
  <si>
    <t xml:space="preserve">bomapp.co.kr</t>
  </si>
  <si>
    <t xml:space="preserve">https://bomapp.co.kr</t>
  </si>
  <si>
    <r>
      <rPr>
        <sz val="10"/>
        <rFont val="Arial"/>
        <family val="0"/>
        <charset val="1"/>
      </rPr>
      <t xml:space="preserve">Hero, </t>
    </r>
    <r>
      <rPr>
        <sz val="10"/>
        <rFont val="DejaVu Sans"/>
        <family val="2"/>
      </rPr>
      <t xml:space="preserve">상품카드</t>
    </r>
    <r>
      <rPr>
        <sz val="10"/>
        <rFont val="Arial"/>
        <family val="0"/>
        <charset val="1"/>
      </rPr>
      <t xml:space="preserve">, Sticky CTA, Footer</t>
    </r>
  </si>
  <si>
    <r>
      <rPr>
        <sz val="10"/>
        <rFont val="DejaVu Sans"/>
        <family val="2"/>
      </rPr>
      <t xml:space="preserve">중간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앱 랜딩 위주</t>
    </r>
    <r>
      <rPr>
        <sz val="10"/>
        <rFont val="Arial"/>
        <family val="0"/>
        <charset val="1"/>
      </rPr>
      <t xml:space="preserve">)</t>
    </r>
  </si>
  <si>
    <t xml:space="preserve">굿보험</t>
  </si>
  <si>
    <t xml:space="preserve">보험플러스</t>
  </si>
  <si>
    <t xml:space="preserve">insuplus.co.kr</t>
  </si>
  <si>
    <t xml:space="preserve">https://www.insuplus.co.kr</t>
  </si>
  <si>
    <r>
      <rPr>
        <sz val="10"/>
        <rFont val="Arial"/>
        <family val="0"/>
        <charset val="1"/>
      </rPr>
      <t xml:space="preserve">Hero, </t>
    </r>
    <r>
      <rPr>
        <sz val="10"/>
        <rFont val="DejaVu Sans"/>
        <family val="2"/>
      </rPr>
      <t xml:space="preserve">리드폼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상담사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상품카드</t>
    </r>
  </si>
  <si>
    <t xml:space="preserve">낮음</t>
  </si>
  <si>
    <t xml:space="preserve">토스인슈어런스</t>
  </si>
  <si>
    <t xml:space="preserve">toss.im/insurance</t>
  </si>
  <si>
    <t xml:space="preserve">https://toss.im/insurance</t>
  </si>
  <si>
    <r>
      <rPr>
        <sz val="10"/>
        <rFont val="Arial"/>
        <family val="0"/>
        <charset val="1"/>
      </rPr>
      <t xml:space="preserve">Hero, </t>
    </r>
    <r>
      <rPr>
        <sz val="10"/>
        <rFont val="DejaVu Sans"/>
        <family val="2"/>
      </rPr>
      <t xml:space="preserve">리드폼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상품카드</t>
    </r>
    <r>
      <rPr>
        <sz val="10"/>
        <rFont val="Arial"/>
        <family val="0"/>
        <charset val="1"/>
      </rPr>
      <t xml:space="preserve">, FAQ, Sticky CTA (</t>
    </r>
    <r>
      <rPr>
        <sz val="10"/>
        <rFont val="DejaVu Sans"/>
        <family val="2"/>
      </rPr>
      <t xml:space="preserve">모바일 퍼스트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</si>
  <si>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중간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모바일 우선</t>
    </r>
    <r>
      <rPr>
        <sz val="10"/>
        <rFont val="Arial"/>
        <family val="0"/>
        <charset val="1"/>
      </rPr>
      <t xml:space="preserve">, SPA)</t>
    </r>
  </si>
  <si>
    <t xml:space="preserve">tossinsurance</t>
  </si>
  <si>
    <t xml:space="preserve">B</t>
  </si>
  <si>
    <t xml:space="preserve">삼성화재 다이렉트</t>
  </si>
  <si>
    <t xml:space="preserve">direct.samsungfire.com</t>
  </si>
  <si>
    <t xml:space="preserve">https://direct.samsungfire.com</t>
  </si>
  <si>
    <r>
      <rPr>
        <sz val="10"/>
        <rFont val="Arial"/>
        <family val="0"/>
        <charset val="1"/>
      </rPr>
      <t xml:space="preserve">Hero-as-form, </t>
    </r>
    <r>
      <rPr>
        <sz val="10"/>
        <rFont val="DejaVu Sans"/>
        <family val="2"/>
      </rPr>
      <t xml:space="preserve">수치카드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후기</t>
    </r>
    <r>
      <rPr>
        <sz val="10"/>
        <rFont val="Arial"/>
        <family val="0"/>
        <charset val="1"/>
      </rPr>
      <t xml:space="preserve">, Sticky CTA, Footer</t>
    </r>
  </si>
  <si>
    <r>
      <rPr>
        <sz val="10"/>
        <rFont val="Arial"/>
        <family val="0"/>
        <charset val="1"/>
      </rPr>
      <t xml:space="preserve">DB</t>
    </r>
    <r>
      <rPr>
        <sz val="10"/>
        <rFont val="DejaVu Sans"/>
        <family val="2"/>
      </rPr>
      <t xml:space="preserve">손해보험</t>
    </r>
  </si>
  <si>
    <t xml:space="preserve">idbins.com</t>
  </si>
  <si>
    <t xml:space="preserve">https://www.idbins.com</t>
  </si>
  <si>
    <r>
      <rPr>
        <sz val="10"/>
        <rFont val="Arial"/>
        <family val="0"/>
        <charset val="1"/>
      </rPr>
      <t xml:space="preserve">Hero, </t>
    </r>
    <r>
      <rPr>
        <sz val="10"/>
        <rFont val="DejaVu Sans"/>
        <family val="2"/>
      </rPr>
      <t xml:space="preserve">리드폼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수치카드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상품카드</t>
    </r>
    <r>
      <rPr>
        <sz val="10"/>
        <rFont val="Arial"/>
        <family val="0"/>
        <charset val="1"/>
      </rPr>
      <t xml:space="preserve">, Footer</t>
    </r>
  </si>
  <si>
    <t xml:space="preserve">현대해상 다이렉트</t>
  </si>
  <si>
    <t xml:space="preserve">direct.hi.co.kr</t>
  </si>
  <si>
    <t xml:space="preserve">https://direct.hi.co.kr</t>
  </si>
  <si>
    <r>
      <rPr>
        <sz val="10"/>
        <rFont val="Arial"/>
        <family val="0"/>
        <charset val="1"/>
      </rPr>
      <t xml:space="preserve">Hero, </t>
    </r>
    <r>
      <rPr>
        <sz val="10"/>
        <rFont val="DejaVu Sans"/>
        <family val="2"/>
      </rPr>
      <t xml:space="preserve">리드폼</t>
    </r>
    <r>
      <rPr>
        <sz val="10"/>
        <rFont val="Arial"/>
        <family val="0"/>
        <charset val="1"/>
      </rPr>
      <t xml:space="preserve">(wizard), </t>
    </r>
    <r>
      <rPr>
        <sz val="10"/>
        <rFont val="DejaVu Sans"/>
        <family val="2"/>
      </rPr>
      <t xml:space="preserve">상품카드</t>
    </r>
    <r>
      <rPr>
        <sz val="10"/>
        <rFont val="Arial"/>
        <family val="0"/>
        <charset val="1"/>
      </rPr>
      <t xml:space="preserve">, FAQ</t>
    </r>
  </si>
  <si>
    <t xml:space="preserve">메리츠화재 다이렉트</t>
  </si>
  <si>
    <t xml:space="preserve">direct.meritzfire.com</t>
  </si>
  <si>
    <t xml:space="preserve">https://direct.meritzfire.com</t>
  </si>
  <si>
    <r>
      <rPr>
        <sz val="10"/>
        <rFont val="Arial"/>
        <family val="0"/>
        <charset val="1"/>
      </rPr>
      <t xml:space="preserve">Hero, </t>
    </r>
    <r>
      <rPr>
        <sz val="10"/>
        <rFont val="DejaVu Sans"/>
        <family val="2"/>
      </rPr>
      <t xml:space="preserve">리드폼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상품카드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통계차트</t>
    </r>
  </si>
  <si>
    <t xml:space="preserve">캐롯손해보험</t>
  </si>
  <si>
    <t xml:space="preserve">carrotins.com</t>
  </si>
  <si>
    <t xml:space="preserve">https://www.carrotins.com</t>
  </si>
  <si>
    <r>
      <rPr>
        <sz val="10"/>
        <rFont val="Arial"/>
        <family val="0"/>
        <charset val="1"/>
      </rPr>
      <t xml:space="preserve">Hero, </t>
    </r>
    <r>
      <rPr>
        <sz val="10"/>
        <rFont val="DejaVu Sans"/>
        <family val="2"/>
      </rPr>
      <t xml:space="preserve">리드폼</t>
    </r>
    <r>
      <rPr>
        <sz val="10"/>
        <rFont val="Arial"/>
        <family val="0"/>
        <charset val="1"/>
      </rPr>
      <t xml:space="preserve">(right_sticky), </t>
    </r>
    <r>
      <rPr>
        <sz val="10"/>
        <rFont val="DejaVu Sans"/>
        <family val="2"/>
      </rPr>
      <t xml:space="preserve">상품카드</t>
    </r>
    <r>
      <rPr>
        <sz val="10"/>
        <rFont val="Arial"/>
        <family val="0"/>
        <charset val="1"/>
      </rPr>
      <t xml:space="preserve">, FAQ</t>
    </r>
  </si>
  <si>
    <r>
      <rPr>
        <sz val="10"/>
        <rFont val="Arial"/>
        <family val="0"/>
        <charset val="1"/>
      </rPr>
      <t xml:space="preserve">KB</t>
    </r>
    <r>
      <rPr>
        <sz val="10"/>
        <rFont val="DejaVu Sans"/>
        <family val="2"/>
      </rPr>
      <t xml:space="preserve">손해보험 다이렉트</t>
    </r>
  </si>
  <si>
    <t xml:space="preserve">direct.kbinsure.co.kr</t>
  </si>
  <si>
    <t xml:space="preserve">https://direct.kbinsure.co.kr</t>
  </si>
  <si>
    <r>
      <rPr>
        <sz val="10"/>
        <rFont val="Arial"/>
        <family val="0"/>
        <charset val="1"/>
      </rPr>
      <t xml:space="preserve">Hero, </t>
    </r>
    <r>
      <rPr>
        <sz val="10"/>
        <rFont val="DejaVu Sans"/>
        <family val="2"/>
      </rPr>
      <t xml:space="preserve">리드폼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상품카드</t>
    </r>
    <r>
      <rPr>
        <sz val="10"/>
        <rFont val="Arial"/>
        <family val="0"/>
        <charset val="1"/>
      </rPr>
      <t xml:space="preserve">, FAQ</t>
    </r>
  </si>
  <si>
    <t xml:space="preserve">라이나생명 다이렉트</t>
  </si>
  <si>
    <t xml:space="preserve">direct.lina.co.kr</t>
  </si>
  <si>
    <t xml:space="preserve">https://direct.lina.co.kr</t>
  </si>
  <si>
    <r>
      <rPr>
        <sz val="10"/>
        <rFont val="Arial"/>
        <family val="0"/>
        <charset val="1"/>
      </rPr>
      <t xml:space="preserve">Hero, </t>
    </r>
    <r>
      <rPr>
        <sz val="10"/>
        <rFont val="DejaVu Sans"/>
        <family val="2"/>
      </rPr>
      <t xml:space="preserve">리드폼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상품카드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선택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</si>
  <si>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중간 </t>
    </r>
    <r>
      <rPr>
        <sz val="10"/>
        <rFont val="Arial"/>
        <family val="0"/>
        <charset val="1"/>
      </rPr>
      <t xml:space="preserve">(DOM lazy)</t>
    </r>
  </si>
  <si>
    <r>
      <rPr>
        <sz val="10"/>
        <rFont val="Arial"/>
        <family val="0"/>
        <charset val="1"/>
      </rPr>
      <t xml:space="preserve">ABL</t>
    </r>
    <r>
      <rPr>
        <sz val="10"/>
        <rFont val="DejaVu Sans"/>
        <family val="2"/>
      </rPr>
      <t xml:space="preserve">생명</t>
    </r>
  </si>
  <si>
    <t xml:space="preserve">C</t>
  </si>
  <si>
    <t xml:space="preserve">토스</t>
  </si>
  <si>
    <t xml:space="preserve">toss.im</t>
  </si>
  <si>
    <t xml:space="preserve">https://toss.im</t>
  </si>
  <si>
    <r>
      <rPr>
        <sz val="10"/>
        <rFont val="Arial"/>
        <family val="0"/>
        <charset val="1"/>
      </rPr>
      <t xml:space="preserve">Hero, </t>
    </r>
    <r>
      <rPr>
        <sz val="10"/>
        <rFont val="DejaVu Sans"/>
        <family val="2"/>
      </rPr>
      <t xml:space="preserve">스텝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통계</t>
    </r>
    <r>
      <rPr>
        <sz val="10"/>
        <rFont val="Arial"/>
        <family val="0"/>
        <charset val="1"/>
      </rPr>
      <t xml:space="preserve">, Sticky CTA (</t>
    </r>
    <r>
      <rPr>
        <sz val="10"/>
        <rFont val="DejaVu Sans"/>
        <family val="2"/>
      </rPr>
      <t xml:space="preserve">모바일 퍼스트 참고</t>
    </r>
    <r>
      <rPr>
        <sz val="10"/>
        <rFont val="Arial"/>
        <family val="0"/>
        <charset val="1"/>
      </rPr>
      <t xml:space="preserve">)</t>
    </r>
  </si>
  <si>
    <t xml:space="preserve">카카오페이</t>
  </si>
  <si>
    <t xml:space="preserve">kakaopay.com</t>
  </si>
  <si>
    <t xml:space="preserve">https://www.kakaopay.com</t>
  </si>
  <si>
    <r>
      <rPr>
        <sz val="10"/>
        <rFont val="Arial"/>
        <family val="0"/>
        <charset val="1"/>
      </rPr>
      <t xml:space="preserve">Hero, </t>
    </r>
    <r>
      <rPr>
        <sz val="10"/>
        <rFont val="DejaVu Sans"/>
        <family val="2"/>
      </rPr>
      <t xml:space="preserve">상품카드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통계</t>
    </r>
    <r>
      <rPr>
        <sz val="10"/>
        <rFont val="Arial"/>
        <family val="0"/>
        <charset val="1"/>
      </rPr>
      <t xml:space="preserve">, Footer</t>
    </r>
  </si>
  <si>
    <t xml:space="preserve">뱅크샐러드</t>
  </si>
  <si>
    <t xml:space="preserve">banksalad.com</t>
  </si>
  <si>
    <t xml:space="preserve">https://banksalad.com</t>
  </si>
  <si>
    <r>
      <rPr>
        <sz val="10"/>
        <rFont val="Arial"/>
        <family val="0"/>
        <charset val="1"/>
      </rPr>
      <t xml:space="preserve">Hero, </t>
    </r>
    <r>
      <rPr>
        <sz val="10"/>
        <rFont val="DejaVu Sans"/>
        <family val="2"/>
      </rPr>
      <t xml:space="preserve">통계차트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상품카드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페르소나 카드</t>
    </r>
  </si>
  <si>
    <r>
      <rPr>
        <b val="true"/>
        <sz val="14"/>
        <color rgb="FF0F2A44"/>
        <rFont val="Arial"/>
        <family val="0"/>
        <charset val="1"/>
      </rPr>
      <t xml:space="preserve">Sections — 16 </t>
    </r>
    <r>
      <rPr>
        <b val="true"/>
        <sz val="14"/>
        <color rgb="FF0F2A44"/>
        <rFont val="DejaVu Sans"/>
        <family val="2"/>
      </rPr>
      <t xml:space="preserve">섹션 라이브러리 목표</t>
    </r>
  </si>
  <si>
    <r>
      <rPr>
        <i val="true"/>
        <sz val="9"/>
        <color rgb="FF595959"/>
        <rFont val="DejaVu Sans"/>
        <family val="2"/>
      </rPr>
      <t xml:space="preserve">각 섹션은 서로 다른 </t>
    </r>
    <r>
      <rPr>
        <i val="true"/>
        <sz val="9"/>
        <color rgb="FF595959"/>
        <rFont val="Arial"/>
        <family val="0"/>
        <charset val="1"/>
      </rPr>
      <t xml:space="preserve">variant axis </t>
    </r>
    <r>
      <rPr>
        <i val="true"/>
        <sz val="9"/>
        <color rgb="FF595959"/>
        <rFont val="DejaVu Sans"/>
        <family val="2"/>
      </rPr>
      <t xml:space="preserve">로 </t>
    </r>
    <r>
      <rPr>
        <i val="true"/>
        <sz val="9"/>
        <color rgb="FF595959"/>
        <rFont val="Arial"/>
        <family val="0"/>
        <charset val="1"/>
      </rPr>
      <t xml:space="preserve">3~5</t>
    </r>
    <r>
      <rPr>
        <i val="true"/>
        <sz val="9"/>
        <color rgb="FF595959"/>
        <rFont val="DejaVu Sans"/>
        <family val="2"/>
      </rPr>
      <t xml:space="preserve">개 수집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DejaVu Sans"/>
        <family val="2"/>
      </rPr>
      <t xml:space="preserve">같은 </t>
    </r>
    <r>
      <rPr>
        <i val="true"/>
        <sz val="9"/>
        <color rgb="FF595959"/>
        <rFont val="Arial"/>
        <family val="0"/>
        <charset val="1"/>
      </rPr>
      <t xml:space="preserve">axis </t>
    </r>
    <r>
      <rPr>
        <i val="true"/>
        <sz val="9"/>
        <color rgb="FF595959"/>
        <rFont val="DejaVu Sans"/>
        <family val="2"/>
      </rPr>
      <t xml:space="preserve">반복 금지 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DejaVu Sans"/>
        <family val="2"/>
      </rPr>
      <t xml:space="preserve">브리프 </t>
    </r>
    <r>
      <rPr>
        <i val="true"/>
        <sz val="9"/>
        <color rgb="FF595959"/>
        <rFont val="Arial"/>
        <family val="0"/>
        <charset val="1"/>
      </rPr>
      <t xml:space="preserve">§3 + §4.1 Q2).</t>
    </r>
  </si>
  <si>
    <t xml:space="preserve">§</t>
  </si>
  <si>
    <t xml:space="preserve">섹션 이름</t>
  </si>
  <si>
    <r>
      <rPr>
        <b val="true"/>
        <sz val="11"/>
        <color rgb="FFFFFFFF"/>
        <rFont val="DejaVu Sans"/>
        <family val="2"/>
      </rPr>
      <t xml:space="preserve">변형 축 </t>
    </r>
    <r>
      <rPr>
        <b val="true"/>
        <sz val="11"/>
        <color rgb="FFFFFFFF"/>
        <rFont val="Arial"/>
        <family val="0"/>
        <charset val="1"/>
      </rPr>
      <t xml:space="preserve">(Variant Axis)</t>
    </r>
  </si>
  <si>
    <t xml:space="preserve">수집 목표</t>
  </si>
  <si>
    <t xml:space="preserve">필수 태그 키</t>
  </si>
  <si>
    <t xml:space="preserve">중요도</t>
  </si>
  <si>
    <r>
      <rPr>
        <sz val="10"/>
        <rFont val="Arial"/>
        <family val="0"/>
        <charset val="1"/>
      </rPr>
      <t xml:space="preserve">GNB / </t>
    </r>
    <r>
      <rPr>
        <sz val="10"/>
        <rFont val="DejaVu Sans"/>
        <family val="2"/>
      </rPr>
      <t xml:space="preserve">네비게이션</t>
    </r>
  </si>
  <si>
    <r>
      <rPr>
        <sz val="10"/>
        <rFont val="Arial"/>
        <family val="0"/>
        <charset val="1"/>
      </rPr>
      <t xml:space="preserve">(a) </t>
    </r>
    <r>
      <rPr>
        <sz val="10"/>
        <rFont val="DejaVu Sans"/>
        <family val="2"/>
      </rPr>
      <t xml:space="preserve">드롭다운 유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무 </t>
    </r>
    <r>
      <rPr>
        <sz val="10"/>
        <rFont val="Arial"/>
        <family val="0"/>
        <charset val="1"/>
      </rPr>
      <t xml:space="preserve">(b) sticky </t>
    </r>
    <r>
      <rPr>
        <sz val="10"/>
        <rFont val="DejaVu Sans"/>
        <family val="2"/>
      </rPr>
      <t xml:space="preserve">투명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솔리드 </t>
    </r>
    <r>
      <rPr>
        <sz val="10"/>
        <rFont val="Arial"/>
        <family val="0"/>
        <charset val="1"/>
      </rPr>
      <t xml:space="preserve">(c) </t>
    </r>
    <r>
      <rPr>
        <sz val="10"/>
        <rFont val="DejaVu Sans"/>
        <family val="2"/>
      </rPr>
      <t xml:space="preserve">검색창</t>
    </r>
  </si>
  <si>
    <t xml:space="preserve">3~4</t>
  </si>
  <si>
    <t xml:space="preserve">menu_depth, sticky, cta_count, logo_position</t>
  </si>
  <si>
    <t xml:space="preserve">기본</t>
  </si>
  <si>
    <r>
      <rPr>
        <sz val="10"/>
        <rFont val="Arial"/>
        <family val="0"/>
        <charset val="1"/>
      </rPr>
      <t xml:space="preserve">Hero — </t>
    </r>
    <r>
      <rPr>
        <sz val="10"/>
        <rFont val="DejaVu Sans"/>
        <family val="2"/>
      </rPr>
      <t xml:space="preserve">메인 카피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시각</t>
    </r>
  </si>
  <si>
    <r>
      <rPr>
        <sz val="10"/>
        <rFont val="Arial"/>
        <family val="0"/>
        <charset val="1"/>
      </rPr>
      <t xml:space="preserve">(a) Split vs Full-bleed (b) </t>
    </r>
    <r>
      <rPr>
        <sz val="10"/>
        <rFont val="DejaVu Sans"/>
        <family val="2"/>
      </rPr>
      <t xml:space="preserve">실사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일러</t>
    </r>
    <r>
      <rPr>
        <sz val="10"/>
        <rFont val="Arial"/>
        <family val="0"/>
        <charset val="1"/>
      </rPr>
      <t xml:space="preserve">/Lottie (c) </t>
    </r>
    <r>
      <rPr>
        <sz val="10"/>
        <rFont val="DejaVu Sans"/>
        <family val="2"/>
      </rPr>
      <t xml:space="preserve">그라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단색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비디오</t>
    </r>
  </si>
  <si>
    <t xml:space="preserve">4~5</t>
  </si>
  <si>
    <t xml:space="preserve">layout, visual, cta_count, headline_lines</t>
  </si>
  <si>
    <t xml:space="preserve">중요</t>
  </si>
  <si>
    <r>
      <rPr>
        <sz val="10"/>
        <rFont val="DejaVu Sans"/>
        <family val="2"/>
      </rPr>
      <t xml:space="preserve">리드폼 — </t>
    </r>
    <r>
      <rPr>
        <sz val="10"/>
        <rFont val="Arial"/>
        <family val="0"/>
        <charset val="1"/>
      </rPr>
      <t xml:space="preserve">Hero </t>
    </r>
    <r>
      <rPr>
        <sz val="10"/>
        <rFont val="DejaVu Sans"/>
        <family val="2"/>
      </rPr>
      <t xml:space="preserve">인접형</t>
    </r>
  </si>
  <si>
    <t xml:space="preserve">(a) right_sticky (b) as_hero (c) inline (d) modal (e) wizard</t>
  </si>
  <si>
    <t xml:space="preserve">5</t>
  </si>
  <si>
    <t xml:space="preserve">position, field_count, consent_ui, cta_label</t>
  </si>
  <si>
    <t xml:space="preserve">최우선 ★★★</t>
  </si>
  <si>
    <t xml:space="preserve">리드폼 — 본문 중단형</t>
  </si>
  <si>
    <r>
      <rPr>
        <sz val="10"/>
        <rFont val="Arial"/>
        <family val="0"/>
        <charset val="1"/>
      </rPr>
      <t xml:space="preserve">(a) dark (b) </t>
    </r>
    <r>
      <rPr>
        <sz val="10"/>
        <rFont val="DejaVu Sans"/>
        <family val="2"/>
      </rPr>
      <t xml:space="preserve">그라데이션 </t>
    </r>
    <r>
      <rPr>
        <sz val="10"/>
        <rFont val="Arial"/>
        <family val="0"/>
        <charset val="1"/>
      </rPr>
      <t xml:space="preserve">(c) inverse / </t>
    </r>
    <r>
      <rPr>
        <sz val="10"/>
        <rFont val="DejaVu Sans"/>
        <family val="2"/>
      </rPr>
      <t xml:space="preserve">긴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미니멀</t>
    </r>
  </si>
  <si>
    <t xml:space="preserve">3</t>
  </si>
  <si>
    <t xml:space="preserve">tone, field_count, cta_label</t>
  </si>
  <si>
    <t xml:space="preserve">Why Us / Trust Metrics</t>
  </si>
  <si>
    <r>
      <rPr>
        <sz val="10"/>
        <rFont val="Arial"/>
        <family val="0"/>
        <charset val="1"/>
      </rPr>
      <t xml:space="preserve">(a) 2×2 vs 4</t>
    </r>
    <r>
      <rPr>
        <sz val="10"/>
        <rFont val="DejaVu Sans"/>
        <family val="2"/>
      </rPr>
      <t xml:space="preserve">열 </t>
    </r>
    <r>
      <rPr>
        <sz val="10"/>
        <rFont val="Arial"/>
        <family val="0"/>
        <charset val="1"/>
      </rPr>
      <t xml:space="preserve">(b) </t>
    </r>
    <r>
      <rPr>
        <sz val="10"/>
        <rFont val="DejaVu Sans"/>
        <family val="2"/>
      </rPr>
      <t xml:space="preserve">아이콘 유무 </t>
    </r>
    <r>
      <rPr>
        <sz val="10"/>
        <rFont val="Arial"/>
        <family val="0"/>
        <charset val="1"/>
      </rPr>
      <t xml:space="preserve">(c) </t>
    </r>
    <r>
      <rPr>
        <sz val="10"/>
        <rFont val="DejaVu Sans"/>
        <family val="2"/>
      </rPr>
      <t xml:space="preserve">배경 틴트</t>
    </r>
  </si>
  <si>
    <t xml:space="preserve">count, icon, bg</t>
  </si>
  <si>
    <t xml:space="preserve">상품 안내 카드 그리드</t>
  </si>
  <si>
    <r>
      <rPr>
        <sz val="10"/>
        <rFont val="Arial"/>
        <family val="0"/>
        <charset val="1"/>
      </rPr>
      <t xml:space="preserve">(a) 2/3/4</t>
    </r>
    <r>
      <rPr>
        <sz val="10"/>
        <rFont val="DejaVu Sans"/>
        <family val="2"/>
      </rPr>
      <t xml:space="preserve">열 </t>
    </r>
    <r>
      <rPr>
        <sz val="10"/>
        <rFont val="Arial"/>
        <family val="0"/>
        <charset val="1"/>
      </rPr>
      <t xml:space="preserve">(b) </t>
    </r>
    <r>
      <rPr>
        <sz val="10"/>
        <rFont val="DejaVu Sans"/>
        <family val="2"/>
      </rPr>
      <t xml:space="preserve">카드 균일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가변 </t>
    </r>
    <r>
      <rPr>
        <sz val="10"/>
        <rFont val="Arial"/>
        <family val="0"/>
        <charset val="1"/>
      </rPr>
      <t xml:space="preserve">(c) </t>
    </r>
    <r>
      <rPr>
        <sz val="10"/>
        <rFont val="DejaVu Sans"/>
        <family val="2"/>
      </rPr>
      <t xml:space="preserve">링크 </t>
    </r>
    <r>
      <rPr>
        <sz val="10"/>
        <rFont val="Arial"/>
        <family val="0"/>
        <charset val="1"/>
      </rPr>
      <t xml:space="preserve">1/</t>
    </r>
    <r>
      <rPr>
        <sz val="10"/>
        <rFont val="DejaVu Sans"/>
        <family val="2"/>
      </rPr>
      <t xml:space="preserve">다수 </t>
    </r>
    <r>
      <rPr>
        <sz val="10"/>
        <rFont val="Arial"/>
        <family val="0"/>
        <charset val="1"/>
      </rPr>
      <t xml:space="preserve">(d) </t>
    </r>
    <r>
      <rPr>
        <sz val="10"/>
        <rFont val="DejaVu Sans"/>
        <family val="2"/>
      </rPr>
      <t xml:space="preserve">아이콘 스타일</t>
    </r>
  </si>
  <si>
    <t xml:space="preserve">columns, icon_style, card_height</t>
  </si>
  <si>
    <t xml:space="preserve">협력사 로고월</t>
  </si>
  <si>
    <r>
      <rPr>
        <sz val="10"/>
        <rFont val="Arial"/>
        <family val="0"/>
        <charset val="1"/>
      </rPr>
      <t xml:space="preserve">(a) </t>
    </r>
    <r>
      <rPr>
        <sz val="10"/>
        <rFont val="DejaVu Sans"/>
        <family val="2"/>
      </rPr>
      <t xml:space="preserve">생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손 분리 </t>
    </r>
    <r>
      <rPr>
        <sz val="10"/>
        <rFont val="Arial"/>
        <family val="0"/>
        <charset val="1"/>
      </rPr>
      <t xml:space="preserve">(b) </t>
    </r>
    <r>
      <rPr>
        <sz val="10"/>
        <rFont val="DejaVu Sans"/>
        <family val="2"/>
      </rPr>
      <t xml:space="preserve">단일 그리드 </t>
    </r>
    <r>
      <rPr>
        <sz val="10"/>
        <rFont val="Arial"/>
        <family val="0"/>
        <charset val="1"/>
      </rPr>
      <t xml:space="preserve">(c) </t>
    </r>
    <r>
      <rPr>
        <sz val="10"/>
        <rFont val="DejaVu Sans"/>
        <family val="2"/>
      </rPr>
      <t xml:space="preserve">컨베이어 </t>
    </r>
    <r>
      <rPr>
        <sz val="10"/>
        <rFont val="Arial"/>
        <family val="0"/>
        <charset val="1"/>
      </rPr>
      <t xml:space="preserve">(d) </t>
    </r>
    <r>
      <rPr>
        <sz val="10"/>
        <rFont val="DejaVu Sans"/>
        <family val="2"/>
      </rPr>
      <t xml:space="preserve">그레이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컬러</t>
    </r>
  </si>
  <si>
    <t xml:space="preserve">layout, filter, count</t>
  </si>
  <si>
    <r>
      <rPr>
        <sz val="10"/>
        <rFont val="DejaVu Sans"/>
        <family val="2"/>
      </rPr>
      <t xml:space="preserve">절차 프로세스 </t>
    </r>
    <r>
      <rPr>
        <sz val="10"/>
        <rFont val="Arial"/>
        <family val="0"/>
        <charset val="1"/>
      </rPr>
      <t xml:space="preserve">(Step Flow)</t>
    </r>
  </si>
  <si>
    <r>
      <rPr>
        <sz val="10"/>
        <rFont val="Arial"/>
        <family val="0"/>
        <charset val="1"/>
      </rPr>
      <t xml:space="preserve">(a) 3 vs 5</t>
    </r>
    <r>
      <rPr>
        <sz val="10"/>
        <rFont val="DejaVu Sans"/>
        <family val="2"/>
      </rPr>
      <t xml:space="preserve">단계 </t>
    </r>
    <r>
      <rPr>
        <sz val="10"/>
        <rFont val="Arial"/>
        <family val="0"/>
        <charset val="1"/>
      </rPr>
      <t xml:space="preserve">(b) </t>
    </r>
    <r>
      <rPr>
        <sz val="10"/>
        <rFont val="DejaVu Sans"/>
        <family val="2"/>
      </rPr>
      <t xml:space="preserve">가로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세로 </t>
    </r>
    <r>
      <rPr>
        <sz val="10"/>
        <rFont val="Arial"/>
        <family val="0"/>
        <charset val="1"/>
      </rPr>
      <t xml:space="preserve">(c) </t>
    </r>
    <r>
      <rPr>
        <sz val="10"/>
        <rFont val="DejaVu Sans"/>
        <family val="2"/>
      </rPr>
      <t xml:space="preserve">원형 번호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카드 </t>
    </r>
    <r>
      <rPr>
        <sz val="10"/>
        <rFont val="Arial"/>
        <family val="0"/>
        <charset val="1"/>
      </rPr>
      <t xml:space="preserve">(d) </t>
    </r>
    <r>
      <rPr>
        <sz val="10"/>
        <rFont val="DejaVu Sans"/>
        <family val="2"/>
      </rPr>
      <t xml:space="preserve">아이콘</t>
    </r>
  </si>
  <si>
    <t xml:space="preserve">steps, orient, marker</t>
  </si>
  <si>
    <r>
      <rPr>
        <sz val="10"/>
        <rFont val="DejaVu Sans"/>
        <family val="2"/>
      </rPr>
      <t xml:space="preserve">상담사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전문가 소개</t>
    </r>
  </si>
  <si>
    <r>
      <rPr>
        <sz val="10"/>
        <rFont val="Arial"/>
        <family val="0"/>
        <charset val="1"/>
      </rPr>
      <t xml:space="preserve">(a) </t>
    </r>
    <r>
      <rPr>
        <sz val="10"/>
        <rFont val="DejaVu Sans"/>
        <family val="2"/>
      </rPr>
      <t xml:space="preserve">슬라이더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그리드 </t>
    </r>
    <r>
      <rPr>
        <sz val="10"/>
        <rFont val="Arial"/>
        <family val="0"/>
        <charset val="1"/>
      </rPr>
      <t xml:space="preserve">(b) </t>
    </r>
    <r>
      <rPr>
        <sz val="10"/>
        <rFont val="DejaVu Sans"/>
        <family val="2"/>
      </rPr>
      <t xml:space="preserve">사진 스타일 </t>
    </r>
    <r>
      <rPr>
        <sz val="10"/>
        <rFont val="Arial"/>
        <family val="0"/>
        <charset val="1"/>
      </rPr>
      <t xml:space="preserve">(c) bullet </t>
    </r>
    <r>
      <rPr>
        <sz val="10"/>
        <rFont val="DejaVu Sans"/>
        <family val="2"/>
      </rPr>
      <t xml:space="preserve">수</t>
    </r>
  </si>
  <si>
    <t xml:space="preserve">2~3</t>
  </si>
  <si>
    <t xml:space="preserve">style, photo_type, bullet_count</t>
  </si>
  <si>
    <t xml:space="preserve">선택</t>
  </si>
  <si>
    <r>
      <rPr>
        <sz val="10"/>
        <rFont val="DejaVu Sans"/>
        <family val="2"/>
      </rPr>
      <t xml:space="preserve">데이터 교육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통계 섹션</t>
    </r>
  </si>
  <si>
    <r>
      <rPr>
        <sz val="10"/>
        <rFont val="Arial"/>
        <family val="0"/>
        <charset val="1"/>
      </rPr>
      <t xml:space="preserve">(a) </t>
    </r>
    <r>
      <rPr>
        <sz val="10"/>
        <rFont val="DejaVu Sans"/>
        <family val="2"/>
      </rPr>
      <t xml:space="preserve">정적 </t>
    </r>
    <r>
      <rPr>
        <sz val="10"/>
        <rFont val="Arial"/>
        <family val="0"/>
        <charset val="1"/>
      </rPr>
      <t xml:space="preserve">SVG (b) </t>
    </r>
    <r>
      <rPr>
        <sz val="10"/>
        <rFont val="DejaVu Sans"/>
        <family val="2"/>
      </rPr>
      <t xml:space="preserve">인터랙티브 </t>
    </r>
    <r>
      <rPr>
        <sz val="10"/>
        <rFont val="Arial"/>
        <family val="0"/>
        <charset val="1"/>
      </rPr>
      <t xml:space="preserve">(c) </t>
    </r>
    <r>
      <rPr>
        <sz val="10"/>
        <rFont val="DejaVu Sans"/>
        <family val="2"/>
      </rPr>
      <t xml:space="preserve">다이어그램 </t>
    </r>
    <r>
      <rPr>
        <sz val="10"/>
        <rFont val="Arial"/>
        <family val="0"/>
        <charset val="1"/>
      </rPr>
      <t xml:space="preserve">(d) dark vs light</t>
    </r>
  </si>
  <si>
    <t xml:space="preserve">chart_type, interactive, bg</t>
  </si>
  <si>
    <r>
      <rPr>
        <sz val="10"/>
        <rFont val="DejaVu Sans"/>
        <family val="2"/>
      </rPr>
      <t xml:space="preserve">상품 비교 카드 </t>
    </r>
    <r>
      <rPr>
        <sz val="10"/>
        <rFont val="Arial"/>
        <family val="0"/>
        <charset val="1"/>
      </rPr>
      <t xml:space="preserve">(3~5 </t>
    </r>
    <r>
      <rPr>
        <sz val="10"/>
        <rFont val="DejaVu Sans"/>
        <family val="2"/>
      </rPr>
      <t xml:space="preserve">보험사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</si>
  <si>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(a) </t>
    </r>
    <r>
      <rPr>
        <sz val="10"/>
        <rFont val="DejaVu Sans"/>
        <family val="2"/>
      </rPr>
      <t xml:space="preserve">가격 공개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마스킹 </t>
    </r>
    <r>
      <rPr>
        <sz val="10"/>
        <rFont val="Arial"/>
        <family val="0"/>
        <charset val="1"/>
      </rPr>
      <t xml:space="preserve">vs '</t>
    </r>
    <r>
      <rPr>
        <sz val="10"/>
        <rFont val="DejaVu Sans"/>
        <family val="2"/>
      </rPr>
      <t xml:space="preserve">상담 안내</t>
    </r>
    <r>
      <rPr>
        <sz val="10"/>
        <rFont val="Arial"/>
        <family val="0"/>
        <charset val="1"/>
      </rPr>
      <t xml:space="preserve">' (b) 3 vs 5 </t>
    </r>
    <r>
      <rPr>
        <sz val="10"/>
        <rFont val="DejaVu Sans"/>
        <family val="2"/>
      </rPr>
      <t xml:space="preserve">카드 </t>
    </r>
    <r>
      <rPr>
        <sz val="10"/>
        <rFont val="Arial"/>
        <family val="0"/>
        <charset val="1"/>
      </rPr>
      <t xml:space="preserve">(c) </t>
    </r>
    <r>
      <rPr>
        <sz val="10"/>
        <rFont val="DejaVu Sans"/>
        <family val="2"/>
      </rPr>
      <t xml:space="preserve">특약수</t>
    </r>
  </si>
  <si>
    <t xml:space="preserve">price_reveal, card_count, feature_count</t>
  </si>
  <si>
    <r>
      <rPr>
        <sz val="10"/>
        <rFont val="DejaVu Sans"/>
        <family val="2"/>
      </rPr>
      <t xml:space="preserve">중요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법무</t>
    </r>
    <r>
      <rPr>
        <sz val="10"/>
        <rFont val="Arial"/>
        <family val="0"/>
        <charset val="1"/>
      </rPr>
      <t xml:space="preserve">)</t>
    </r>
  </si>
  <si>
    <t xml:space="preserve">추천 대상 페르소나 카드</t>
  </si>
  <si>
    <r>
      <rPr>
        <sz val="10"/>
        <rFont val="Arial"/>
        <family val="0"/>
        <charset val="1"/>
      </rPr>
      <t xml:space="preserve">(a) </t>
    </r>
    <r>
      <rPr>
        <sz val="10"/>
        <rFont val="DejaVu Sans"/>
        <family val="2"/>
      </rPr>
      <t xml:space="preserve">일러스트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사진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아이콘 </t>
    </r>
    <r>
      <rPr>
        <sz val="10"/>
        <rFont val="Arial"/>
        <family val="0"/>
        <charset val="1"/>
      </rPr>
      <t xml:space="preserve">(b) 3/4/5+ </t>
    </r>
    <r>
      <rPr>
        <sz val="10"/>
        <rFont val="DejaVu Sans"/>
        <family val="2"/>
      </rPr>
      <t xml:space="preserve">카드 </t>
    </r>
    <r>
      <rPr>
        <sz val="10"/>
        <rFont val="Arial"/>
        <family val="0"/>
        <charset val="1"/>
      </rPr>
      <t xml:space="preserve">(c) </t>
    </r>
    <r>
      <rPr>
        <sz val="10"/>
        <rFont val="DejaVu Sans"/>
        <family val="2"/>
      </rPr>
      <t xml:space="preserve">상황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연령</t>
    </r>
  </si>
  <si>
    <t xml:space="preserve">count, visual, axis</t>
  </si>
  <si>
    <r>
      <rPr>
        <sz val="10"/>
        <rFont val="Arial"/>
        <family val="0"/>
        <charset val="1"/>
      </rPr>
      <t xml:space="preserve">FAQ (</t>
    </r>
    <r>
      <rPr>
        <sz val="10"/>
        <rFont val="DejaVu Sans"/>
        <family val="2"/>
      </rPr>
      <t xml:space="preserve">아코디언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</si>
  <si>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(a) </t>
    </r>
    <r>
      <rPr>
        <sz val="10"/>
        <rFont val="DejaVu Sans"/>
        <family val="2"/>
      </rPr>
      <t xml:space="preserve">번호 유무 </t>
    </r>
    <r>
      <rPr>
        <sz val="10"/>
        <rFont val="Arial"/>
        <family val="0"/>
        <charset val="1"/>
      </rPr>
      <t xml:space="preserve">(b) </t>
    </r>
    <r>
      <rPr>
        <sz val="10"/>
        <rFont val="DejaVu Sans"/>
        <family val="2"/>
      </rPr>
      <t xml:space="preserve">분류 태그 유무 </t>
    </r>
    <r>
      <rPr>
        <sz val="10"/>
        <rFont val="Arial"/>
        <family val="0"/>
        <charset val="1"/>
      </rPr>
      <t xml:space="preserve">(c) </t>
    </r>
    <r>
      <rPr>
        <sz val="10"/>
        <rFont val="DejaVu Sans"/>
        <family val="2"/>
      </rPr>
      <t xml:space="preserve">카드형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라인</t>
    </r>
  </si>
  <si>
    <t xml:space="preserve">style, categorized, count</t>
  </si>
  <si>
    <r>
      <rPr>
        <sz val="10"/>
        <rFont val="DejaVu Sans"/>
        <family val="2"/>
      </rPr>
      <t xml:space="preserve">후기</t>
    </r>
    <r>
      <rPr>
        <sz val="10"/>
        <rFont val="Arial"/>
        <family val="0"/>
        <charset val="1"/>
      </rPr>
      <t xml:space="preserve">·Testimonial</t>
    </r>
  </si>
  <si>
    <r>
      <rPr>
        <sz val="10"/>
        <rFont val="Arial"/>
        <family val="0"/>
        <charset val="1"/>
      </rPr>
      <t xml:space="preserve">(a) </t>
    </r>
    <r>
      <rPr>
        <sz val="10"/>
        <rFont val="DejaVu Sans"/>
        <family val="2"/>
      </rPr>
      <t xml:space="preserve">실명 </t>
    </r>
    <r>
      <rPr>
        <sz val="10"/>
        <rFont val="Arial"/>
        <family val="0"/>
        <charset val="1"/>
      </rPr>
      <t xml:space="preserve">vs </t>
    </r>
    <r>
      <rPr>
        <sz val="10"/>
        <rFont val="DejaVu Sans"/>
        <family val="2"/>
      </rPr>
      <t xml:space="preserve">마스킹 </t>
    </r>
    <r>
      <rPr>
        <sz val="10"/>
        <rFont val="Arial"/>
        <family val="0"/>
        <charset val="1"/>
      </rPr>
      <t xml:space="preserve">(b) </t>
    </r>
    <r>
      <rPr>
        <sz val="10"/>
        <rFont val="DejaVu Sans"/>
        <family val="2"/>
      </rPr>
      <t xml:space="preserve">평점 유무 </t>
    </r>
    <r>
      <rPr>
        <sz val="10"/>
        <rFont val="Arial"/>
        <family val="0"/>
        <charset val="1"/>
      </rPr>
      <t xml:space="preserve">(c) </t>
    </r>
    <r>
      <rPr>
        <sz val="10"/>
        <rFont val="DejaVu Sans"/>
        <family val="2"/>
      </rPr>
      <t xml:space="preserve">날짜 유무</t>
    </r>
  </si>
  <si>
    <t xml:space="preserve">identity, rating, date</t>
  </si>
  <si>
    <r>
      <rPr>
        <sz val="10"/>
        <rFont val="DejaVu Sans"/>
        <family val="2"/>
      </rPr>
      <t xml:space="preserve">모바일 하단 </t>
    </r>
    <r>
      <rPr>
        <sz val="10"/>
        <rFont val="Arial"/>
        <family val="0"/>
        <charset val="1"/>
      </rPr>
      <t xml:space="preserve">sticky CTA </t>
    </r>
    <r>
      <rPr>
        <sz val="10"/>
        <rFont val="DejaVu Sans"/>
        <family val="2"/>
      </rPr>
      <t xml:space="preserve">바</t>
    </r>
  </si>
  <si>
    <r>
      <rPr>
        <sz val="10"/>
        <rFont val="Arial"/>
        <family val="0"/>
        <charset val="1"/>
      </rPr>
      <t xml:space="preserve">(a) 1 vs 2</t>
    </r>
    <r>
      <rPr>
        <sz val="10"/>
        <rFont val="DejaVu Sans"/>
        <family val="2"/>
      </rPr>
      <t xml:space="preserve">버튼 </t>
    </r>
    <r>
      <rPr>
        <sz val="10"/>
        <rFont val="Arial"/>
        <family val="0"/>
        <charset val="1"/>
      </rPr>
      <t xml:space="preserve">(b) </t>
    </r>
    <r>
      <rPr>
        <sz val="10"/>
        <rFont val="DejaVu Sans"/>
        <family val="2"/>
      </rPr>
      <t xml:space="preserve">투명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반투명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솔리드 </t>
    </r>
    <r>
      <rPr>
        <sz val="10"/>
        <rFont val="Arial"/>
        <family val="0"/>
        <charset val="1"/>
      </rPr>
      <t xml:space="preserve">(c) </t>
    </r>
    <r>
      <rPr>
        <sz val="10"/>
        <rFont val="DejaVu Sans"/>
        <family val="2"/>
      </rPr>
      <t xml:space="preserve">전화 아이콘</t>
    </r>
  </si>
  <si>
    <t xml:space="preserve">buttons, bg, icon</t>
  </si>
  <si>
    <r>
      <rPr>
        <sz val="10"/>
        <rFont val="DejaVu Sans"/>
        <family val="2"/>
      </rPr>
      <t xml:space="preserve">중요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모바일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</si>
  <si>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Footer — </t>
    </r>
    <r>
      <rPr>
        <sz val="10"/>
        <rFont val="DejaVu Sans"/>
        <family val="2"/>
      </rPr>
      <t xml:space="preserve">준법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사업자</t>
    </r>
  </si>
  <si>
    <r>
      <rPr>
        <sz val="10"/>
        <rFont val="Arial"/>
        <family val="0"/>
        <charset val="1"/>
      </rPr>
      <t xml:space="preserve">(a) Variant A/B/C (04 </t>
    </r>
    <r>
      <rPr>
        <sz val="10"/>
        <rFont val="DejaVu Sans"/>
        <family val="2"/>
      </rPr>
      <t xml:space="preserve">참조</t>
    </r>
    <r>
      <rPr>
        <sz val="10"/>
        <rFont val="Arial"/>
        <family val="0"/>
        <charset val="1"/>
      </rPr>
      <t xml:space="preserve">) (b) dark vs light (c) </t>
    </r>
    <r>
      <rPr>
        <sz val="10"/>
        <rFont val="DejaVu Sans"/>
        <family val="2"/>
      </rPr>
      <t xml:space="preserve">사업자 블록 수</t>
    </r>
  </si>
  <si>
    <t xml:space="preserve">variant, bg, sns_links</t>
  </si>
  <si>
    <r>
      <rPr>
        <b val="true"/>
        <sz val="10"/>
        <rFont val="DejaVu Sans"/>
        <family val="2"/>
      </rPr>
      <t xml:space="preserve">필수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법무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</si>
  <si>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4"/>
        <color rgb="FF0F2A44"/>
        <rFont val="Arial"/>
        <family val="0"/>
        <charset val="1"/>
      </rPr>
      <t xml:space="preserve">Tags — </t>
    </r>
    <r>
      <rPr>
        <b val="true"/>
        <sz val="14"/>
        <color rgb="FF0F2A44"/>
        <rFont val="DejaVu Sans"/>
        <family val="2"/>
      </rPr>
      <t xml:space="preserve">태그 </t>
    </r>
    <r>
      <rPr>
        <b val="true"/>
        <sz val="14"/>
        <color rgb="FF0F2A44"/>
        <rFont val="Arial"/>
        <family val="0"/>
        <charset val="1"/>
      </rPr>
      <t xml:space="preserve">enum </t>
    </r>
    <r>
      <rPr>
        <b val="true"/>
        <sz val="14"/>
        <color rgb="FF0F2A44"/>
        <rFont val="DejaVu Sans"/>
        <family val="2"/>
      </rPr>
      <t xml:space="preserve">사전</t>
    </r>
  </si>
  <si>
    <r>
      <rPr>
        <i val="true"/>
        <sz val="9"/>
        <color rgb="FF595959"/>
        <rFont val="Arial"/>
        <family val="0"/>
        <charset val="1"/>
      </rPr>
      <t xml:space="preserve">Captures </t>
    </r>
    <r>
      <rPr>
        <i val="true"/>
        <sz val="9"/>
        <color rgb="FF595959"/>
        <rFont val="DejaVu Sans"/>
        <family val="2"/>
      </rPr>
      <t xml:space="preserve">시트의 </t>
    </r>
    <r>
      <rPr>
        <i val="true"/>
        <sz val="9"/>
        <color rgb="FF595959"/>
        <rFont val="Arial"/>
        <family val="0"/>
        <charset val="1"/>
      </rPr>
      <t xml:space="preserve">tags </t>
    </r>
    <r>
      <rPr>
        <i val="true"/>
        <sz val="9"/>
        <color rgb="FF595959"/>
        <rFont val="DejaVu Sans"/>
        <family val="2"/>
      </rPr>
      <t xml:space="preserve">컬럼에 </t>
    </r>
    <r>
      <rPr>
        <i val="true"/>
        <sz val="9"/>
        <color rgb="FF595959"/>
        <rFont val="Arial"/>
        <family val="0"/>
        <charset val="1"/>
      </rPr>
      <t xml:space="preserve">key=value </t>
    </r>
    <r>
      <rPr>
        <i val="true"/>
        <sz val="9"/>
        <color rgb="FF595959"/>
        <rFont val="DejaVu Sans"/>
        <family val="2"/>
      </rPr>
      <t xml:space="preserve">형식으로 기재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DejaVu Sans"/>
        <family val="2"/>
      </rPr>
      <t xml:space="preserve">오타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DejaVu Sans"/>
        <family val="2"/>
      </rPr>
      <t xml:space="preserve">임의 값 금지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</si>
  <si>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섹션</t>
  </si>
  <si>
    <t xml:space="preserve">태그 키</t>
  </si>
  <si>
    <r>
      <rPr>
        <b val="true"/>
        <sz val="11"/>
        <color rgb="FFFFFFFF"/>
        <rFont val="DejaVu Sans"/>
        <family val="2"/>
      </rPr>
      <t xml:space="preserve">허용 </t>
    </r>
    <r>
      <rPr>
        <b val="true"/>
        <sz val="11"/>
        <color rgb="FFFFFFFF"/>
        <rFont val="Arial"/>
        <family val="0"/>
        <charset val="1"/>
      </rPr>
      <t xml:space="preserve">enum </t>
    </r>
    <r>
      <rPr>
        <b val="true"/>
        <sz val="11"/>
        <color rgb="FFFFFFFF"/>
        <rFont val="DejaVu Sans"/>
        <family val="2"/>
      </rPr>
      <t xml:space="preserve">값</t>
    </r>
  </si>
  <si>
    <t xml:space="preserve">§1 GNB</t>
  </si>
  <si>
    <t xml:space="preserve">sticky</t>
  </si>
  <si>
    <t xml:space="preserve">y / n</t>
  </si>
  <si>
    <t xml:space="preserve">cta_count</t>
  </si>
  <si>
    <t xml:space="preserve">0 / 1 / 2</t>
  </si>
  <si>
    <t xml:space="preserve">logo_position</t>
  </si>
  <si>
    <t xml:space="preserve">left / center</t>
  </si>
  <si>
    <t xml:space="preserve">menu_depth</t>
  </si>
  <si>
    <t xml:space="preserve">1 / 2 / 3</t>
  </si>
  <si>
    <t xml:space="preserve">§2 Hero</t>
  </si>
  <si>
    <t xml:space="preserve">layout</t>
  </si>
  <si>
    <t xml:space="preserve">split / full / stacked</t>
  </si>
  <si>
    <t xml:space="preserve">visual</t>
  </si>
  <si>
    <t xml:space="preserve">photo / illust / lottie / none</t>
  </si>
  <si>
    <t xml:space="preserve">headline_lines</t>
  </si>
  <si>
    <r>
      <rPr>
        <sz val="10"/>
        <rFont val="Arial"/>
        <family val="0"/>
        <charset val="1"/>
      </rPr>
      <t xml:space="preserve">§3 </t>
    </r>
    <r>
      <rPr>
        <sz val="10"/>
        <rFont val="DejaVu Sans"/>
        <family val="2"/>
      </rPr>
      <t xml:space="preserve">리드폼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인접</t>
    </r>
    <r>
      <rPr>
        <sz val="10"/>
        <rFont val="Arial"/>
        <family val="0"/>
        <charset val="1"/>
      </rPr>
      <t xml:space="preserve">)</t>
    </r>
  </si>
  <si>
    <t xml:space="preserve">position</t>
  </si>
  <si>
    <t xml:space="preserve">right_sticky / as_hero / inline / modal / wizard</t>
  </si>
  <si>
    <t xml:space="preserve">consent_ui</t>
  </si>
  <si>
    <t xml:space="preserve">inline / accordion / modal</t>
  </si>
  <si>
    <t xml:space="preserve">field_count</t>
  </si>
  <si>
    <t xml:space="preserve">3 / 4 / 5 / 6+</t>
  </si>
  <si>
    <r>
      <rPr>
        <sz val="10"/>
        <rFont val="Arial"/>
        <family val="0"/>
        <charset val="1"/>
      </rPr>
      <t xml:space="preserve">§4 </t>
    </r>
    <r>
      <rPr>
        <sz val="10"/>
        <rFont val="DejaVu Sans"/>
        <family val="2"/>
      </rPr>
      <t xml:space="preserve">리드폼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중단</t>
    </r>
    <r>
      <rPr>
        <sz val="10"/>
        <rFont val="Arial"/>
        <family val="0"/>
        <charset val="1"/>
      </rPr>
      <t xml:space="preserve">)</t>
    </r>
  </si>
  <si>
    <t xml:space="preserve">tone</t>
  </si>
  <si>
    <t xml:space="preserve">dark / brand / light</t>
  </si>
  <si>
    <r>
      <rPr>
        <sz val="10"/>
        <rFont val="Arial"/>
        <family val="0"/>
        <charset val="1"/>
      </rPr>
      <t xml:space="preserve">§5 </t>
    </r>
    <r>
      <rPr>
        <sz val="10"/>
        <rFont val="DejaVu Sans"/>
        <family val="2"/>
      </rPr>
      <t xml:space="preserve">수치카드</t>
    </r>
  </si>
  <si>
    <t xml:space="preserve">bg</t>
  </si>
  <si>
    <t xml:space="preserve">white / tint / dark</t>
  </si>
  <si>
    <t xml:space="preserve">count</t>
  </si>
  <si>
    <t xml:space="preserve">2 / 3 / 4 / 5</t>
  </si>
  <si>
    <t xml:space="preserve">icon</t>
  </si>
  <si>
    <r>
      <rPr>
        <sz val="10"/>
        <rFont val="Arial"/>
        <family val="0"/>
        <charset val="1"/>
      </rPr>
      <t xml:space="preserve">§6 </t>
    </r>
    <r>
      <rPr>
        <sz val="10"/>
        <rFont val="DejaVu Sans"/>
        <family val="2"/>
      </rPr>
      <t xml:space="preserve">상품카드</t>
    </r>
  </si>
  <si>
    <t xml:space="preserve">columns</t>
  </si>
  <si>
    <t xml:space="preserve">2 / 3 / 4</t>
  </si>
  <si>
    <t xml:space="preserve">icon_style</t>
  </si>
  <si>
    <t xml:space="preserve">line / filled / illust / photo</t>
  </si>
  <si>
    <t xml:space="preserve">card_height</t>
  </si>
  <si>
    <t xml:space="preserve">fixed / flexible</t>
  </si>
  <si>
    <r>
      <rPr>
        <sz val="10"/>
        <rFont val="Arial"/>
        <family val="0"/>
        <charset val="1"/>
      </rPr>
      <t xml:space="preserve">§7 </t>
    </r>
    <r>
      <rPr>
        <sz val="10"/>
        <rFont val="DejaVu Sans"/>
        <family val="2"/>
      </rPr>
      <t xml:space="preserve">로고월</t>
    </r>
  </si>
  <si>
    <t xml:space="preserve">grid / strip / separated</t>
  </si>
  <si>
    <t xml:space="preserve">filter</t>
  </si>
  <si>
    <t xml:space="preserve">grayscale / color</t>
  </si>
  <si>
    <t xml:space="preserve">15 / 30 / 50+</t>
  </si>
  <si>
    <r>
      <rPr>
        <sz val="10"/>
        <rFont val="Arial"/>
        <family val="0"/>
        <charset val="1"/>
      </rPr>
      <t xml:space="preserve">§8 </t>
    </r>
    <r>
      <rPr>
        <sz val="10"/>
        <rFont val="DejaVu Sans"/>
        <family val="2"/>
      </rPr>
      <t xml:space="preserve">스텝</t>
    </r>
  </si>
  <si>
    <t xml:space="preserve">steps</t>
  </si>
  <si>
    <t xml:space="preserve">3 / 4 / 5 / 6</t>
  </si>
  <si>
    <t xml:space="preserve">orient</t>
  </si>
  <si>
    <t xml:space="preserve">horizontal / vertical</t>
  </si>
  <si>
    <t xml:space="preserve">marker</t>
  </si>
  <si>
    <t xml:space="preserve">circle / square / icon</t>
  </si>
  <si>
    <r>
      <rPr>
        <sz val="10"/>
        <rFont val="Arial"/>
        <family val="0"/>
        <charset val="1"/>
      </rPr>
      <t xml:space="preserve">§9 </t>
    </r>
    <r>
      <rPr>
        <sz val="10"/>
        <rFont val="DejaVu Sans"/>
        <family val="2"/>
      </rPr>
      <t xml:space="preserve">상담사</t>
    </r>
  </si>
  <si>
    <t xml:space="preserve">style</t>
  </si>
  <si>
    <t xml:space="preserve">carousel / grid</t>
  </si>
  <si>
    <t xml:space="preserve">photo_type</t>
  </si>
  <si>
    <t xml:space="preserve">photo / illust</t>
  </si>
  <si>
    <r>
      <rPr>
        <sz val="10"/>
        <rFont val="Arial"/>
        <family val="0"/>
        <charset val="1"/>
      </rPr>
      <t xml:space="preserve">§10 </t>
    </r>
    <r>
      <rPr>
        <sz val="10"/>
        <rFont val="DejaVu Sans"/>
        <family val="2"/>
      </rPr>
      <t xml:space="preserve">통계</t>
    </r>
  </si>
  <si>
    <t xml:space="preserve">chart_type</t>
  </si>
  <si>
    <t xml:space="preserve">bar / line / pie / none</t>
  </si>
  <si>
    <t xml:space="preserve">interactive</t>
  </si>
  <si>
    <t xml:space="preserve">dark / light</t>
  </si>
  <si>
    <r>
      <rPr>
        <sz val="10"/>
        <rFont val="Arial"/>
        <family val="0"/>
        <charset val="1"/>
      </rPr>
      <t xml:space="preserve">§11 </t>
    </r>
    <r>
      <rPr>
        <sz val="10"/>
        <rFont val="DejaVu Sans"/>
        <family val="2"/>
      </rPr>
      <t xml:space="preserve">비교</t>
    </r>
  </si>
  <si>
    <t xml:space="preserve">price_reveal</t>
  </si>
  <si>
    <t xml:space="preserve">open / masked / hidden</t>
  </si>
  <si>
    <t xml:space="preserve">card_count</t>
  </si>
  <si>
    <t xml:space="preserve">3 / 4 / 5</t>
  </si>
  <si>
    <r>
      <rPr>
        <sz val="10"/>
        <rFont val="Arial"/>
        <family val="0"/>
        <charset val="1"/>
      </rPr>
      <t xml:space="preserve">§12 </t>
    </r>
    <r>
      <rPr>
        <sz val="10"/>
        <rFont val="DejaVu Sans"/>
        <family val="2"/>
      </rPr>
      <t xml:space="preserve">페르소나</t>
    </r>
  </si>
  <si>
    <t xml:space="preserve">illust / photo / icon</t>
  </si>
  <si>
    <t xml:space="preserve">axis</t>
  </si>
  <si>
    <t xml:space="preserve">age / situation / job</t>
  </si>
  <si>
    <t xml:space="preserve">§13 FAQ</t>
  </si>
  <si>
    <t xml:space="preserve">card / line</t>
  </si>
  <si>
    <t xml:space="preserve">categorized</t>
  </si>
  <si>
    <t xml:space="preserve">4 / 5 / 6 / 10+</t>
  </si>
  <si>
    <r>
      <rPr>
        <sz val="10"/>
        <rFont val="Arial"/>
        <family val="0"/>
        <charset val="1"/>
      </rPr>
      <t xml:space="preserve">§14 </t>
    </r>
    <r>
      <rPr>
        <sz val="10"/>
        <rFont val="DejaVu Sans"/>
        <family val="2"/>
      </rPr>
      <t xml:space="preserve">후기</t>
    </r>
  </si>
  <si>
    <t xml:space="preserve">identity</t>
  </si>
  <si>
    <t xml:space="preserve">real / masked</t>
  </si>
  <si>
    <t xml:space="preserve">rating</t>
  </si>
  <si>
    <t xml:space="preserve">date</t>
  </si>
  <si>
    <t xml:space="preserve">§15 Sticky CTA</t>
  </si>
  <si>
    <t xml:space="preserve">buttons</t>
  </si>
  <si>
    <t xml:space="preserve">1 / 2</t>
  </si>
  <si>
    <t xml:space="preserve">solid / translucent</t>
  </si>
  <si>
    <t xml:space="preserve">phone / chat / none</t>
  </si>
  <si>
    <t xml:space="preserve">§16 Footer</t>
  </si>
  <si>
    <t xml:space="preserve">variant</t>
  </si>
  <si>
    <t xml:space="preserve">A / B / C</t>
  </si>
  <si>
    <t xml:space="preserve">sns_links</t>
  </si>
  <si>
    <r>
      <rPr>
        <sz val="10"/>
        <rFont val="DejaVu Sans"/>
        <family val="2"/>
      </rPr>
      <t xml:space="preserve">전역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거부 사유</t>
    </r>
    <r>
      <rPr>
        <sz val="10"/>
        <rFont val="Arial"/>
        <family val="0"/>
        <charset val="1"/>
      </rPr>
      <t xml:space="preserve">)</t>
    </r>
  </si>
  <si>
    <t xml:space="preserve">reject_reason</t>
  </si>
  <si>
    <t xml:space="preserve">darkpattern / copyright / legal / obsolete / unverified_claim / other</t>
  </si>
  <si>
    <r>
      <rPr>
        <b val="true"/>
        <sz val="14"/>
        <color rgb="FF0F2A44"/>
        <rFont val="Arial"/>
        <family val="0"/>
        <charset val="1"/>
      </rPr>
      <t xml:space="preserve">Queue — </t>
    </r>
    <r>
      <rPr>
        <b val="true"/>
        <sz val="14"/>
        <color rgb="FF0F2A44"/>
        <rFont val="DejaVu Sans"/>
        <family val="2"/>
      </rPr>
      <t xml:space="preserve">브랜드 </t>
    </r>
    <r>
      <rPr>
        <b val="true"/>
        <sz val="14"/>
        <color rgb="FF0F2A44"/>
        <rFont val="Arial"/>
        <family val="0"/>
        <charset val="1"/>
      </rPr>
      <t xml:space="preserve">× </t>
    </r>
    <r>
      <rPr>
        <b val="true"/>
        <sz val="14"/>
        <color rgb="FF0F2A44"/>
        <rFont val="DejaVu Sans"/>
        <family val="2"/>
      </rPr>
      <t xml:space="preserve">섹션 캡처 매트릭스</t>
    </r>
  </si>
  <si>
    <r>
      <rPr>
        <i val="true"/>
        <sz val="9"/>
        <color rgb="FF595959"/>
        <rFont val="DejaVu Sans"/>
        <family val="2"/>
      </rPr>
      <t xml:space="preserve">각 셀에 상태 입력</t>
    </r>
    <r>
      <rPr>
        <i val="true"/>
        <sz val="9"/>
        <color rgb="FF595959"/>
        <rFont val="Arial"/>
        <family val="0"/>
        <charset val="1"/>
      </rPr>
      <t xml:space="preserve">: - (</t>
    </r>
    <r>
      <rPr>
        <i val="true"/>
        <sz val="9"/>
        <color rgb="FF595959"/>
        <rFont val="DejaVu Sans"/>
        <family val="2"/>
      </rPr>
      <t xml:space="preserve">무시</t>
    </r>
    <r>
      <rPr>
        <i val="true"/>
        <sz val="9"/>
        <color rgb="FF595959"/>
        <rFont val="Arial"/>
        <family val="0"/>
        <charset val="1"/>
      </rPr>
      <t xml:space="preserve">) / todo (</t>
    </r>
    <r>
      <rPr>
        <i val="true"/>
        <sz val="9"/>
        <color rgb="FF595959"/>
        <rFont val="DejaVu Sans"/>
        <family val="2"/>
      </rPr>
      <t xml:space="preserve">예정</t>
    </r>
    <r>
      <rPr>
        <i val="true"/>
        <sz val="9"/>
        <color rgb="FF595959"/>
        <rFont val="Arial"/>
        <family val="0"/>
        <charset val="1"/>
      </rPr>
      <t xml:space="preserve">) / done (</t>
    </r>
    <r>
      <rPr>
        <i val="true"/>
        <sz val="9"/>
        <color rgb="FF595959"/>
        <rFont val="DejaVu Sans"/>
        <family val="2"/>
      </rPr>
      <t xml:space="preserve">완료</t>
    </r>
    <r>
      <rPr>
        <i val="true"/>
        <sz val="9"/>
        <color rgb="FF595959"/>
        <rFont val="Arial"/>
        <family val="0"/>
        <charset val="1"/>
      </rPr>
      <t xml:space="preserve">) / skip: </t>
    </r>
    <r>
      <rPr>
        <i val="true"/>
        <sz val="9"/>
        <color rgb="FF595959"/>
        <rFont val="DejaVu Sans"/>
        <family val="2"/>
      </rPr>
      <t xml:space="preserve">이유  </t>
    </r>
    <r>
      <rPr>
        <i val="true"/>
        <sz val="9"/>
        <color rgb="FF595959"/>
        <rFont val="Arial"/>
        <family val="0"/>
        <charset val="1"/>
      </rPr>
      <t xml:space="preserve">·  'done' </t>
    </r>
    <r>
      <rPr>
        <i val="true"/>
        <sz val="9"/>
        <color rgb="FF595959"/>
        <rFont val="DejaVu Sans"/>
        <family val="2"/>
      </rPr>
      <t xml:space="preserve">되면 </t>
    </r>
    <r>
      <rPr>
        <i val="true"/>
        <sz val="9"/>
        <color rgb="FF595959"/>
        <rFont val="Arial"/>
        <family val="0"/>
        <charset val="1"/>
      </rPr>
      <t xml:space="preserve">Captures </t>
    </r>
    <r>
      <rPr>
        <i val="true"/>
        <sz val="9"/>
        <color rgb="FF595959"/>
        <rFont val="DejaVu Sans"/>
        <family val="2"/>
      </rPr>
      <t xml:space="preserve">시트에 행 추가</t>
    </r>
  </si>
  <si>
    <r>
      <rPr>
        <b val="true"/>
        <sz val="11"/>
        <color rgb="FFFFFFFF"/>
        <rFont val="Arial"/>
        <family val="0"/>
        <charset val="1"/>
      </rPr>
      <t xml:space="preserve">§3 </t>
    </r>
    <r>
      <rPr>
        <b val="true"/>
        <sz val="11"/>
        <color rgb="FFFFFFFF"/>
        <rFont val="DejaVu Sans"/>
        <family val="2"/>
      </rPr>
      <t xml:space="preserve">리드폼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인접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</si>
  <si>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§4 </t>
    </r>
    <r>
      <rPr>
        <b val="true"/>
        <sz val="11"/>
        <color rgb="FFFFFFFF"/>
        <rFont val="DejaVu Sans"/>
        <family val="2"/>
      </rPr>
      <t xml:space="preserve">리드폼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중단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</si>
  <si>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§5 </t>
    </r>
    <r>
      <rPr>
        <b val="true"/>
        <sz val="11"/>
        <color rgb="FFFFFFFF"/>
        <rFont val="DejaVu Sans"/>
        <family val="2"/>
      </rPr>
      <t xml:space="preserve">수치카드</t>
    </r>
  </si>
  <si>
    <r>
      <rPr>
        <b val="true"/>
        <sz val="11"/>
        <color rgb="FFFFFFFF"/>
        <rFont val="Arial"/>
        <family val="0"/>
        <charset val="1"/>
      </rPr>
      <t xml:space="preserve">§6 </t>
    </r>
    <r>
      <rPr>
        <b val="true"/>
        <sz val="11"/>
        <color rgb="FFFFFFFF"/>
        <rFont val="DejaVu Sans"/>
        <family val="2"/>
      </rPr>
      <t xml:space="preserve">상품카드</t>
    </r>
  </si>
  <si>
    <r>
      <rPr>
        <b val="true"/>
        <sz val="11"/>
        <color rgb="FFFFFFFF"/>
        <rFont val="Arial"/>
        <family val="0"/>
        <charset val="1"/>
      </rPr>
      <t xml:space="preserve">§7 </t>
    </r>
    <r>
      <rPr>
        <b val="true"/>
        <sz val="11"/>
        <color rgb="FFFFFFFF"/>
        <rFont val="DejaVu Sans"/>
        <family val="2"/>
      </rPr>
      <t xml:space="preserve">로고월</t>
    </r>
  </si>
  <si>
    <r>
      <rPr>
        <b val="true"/>
        <sz val="11"/>
        <color rgb="FFFFFFFF"/>
        <rFont val="Arial"/>
        <family val="0"/>
        <charset val="1"/>
      </rPr>
      <t xml:space="preserve">§8 </t>
    </r>
    <r>
      <rPr>
        <b val="true"/>
        <sz val="11"/>
        <color rgb="FFFFFFFF"/>
        <rFont val="DejaVu Sans"/>
        <family val="2"/>
      </rPr>
      <t xml:space="preserve">스텝</t>
    </r>
  </si>
  <si>
    <r>
      <rPr>
        <b val="true"/>
        <sz val="11"/>
        <color rgb="FFFFFFFF"/>
        <rFont val="Arial"/>
        <family val="0"/>
        <charset val="1"/>
      </rPr>
      <t xml:space="preserve">§9 </t>
    </r>
    <r>
      <rPr>
        <b val="true"/>
        <sz val="11"/>
        <color rgb="FFFFFFFF"/>
        <rFont val="DejaVu Sans"/>
        <family val="2"/>
      </rPr>
      <t xml:space="preserve">상담사</t>
    </r>
  </si>
  <si>
    <r>
      <rPr>
        <b val="true"/>
        <sz val="11"/>
        <color rgb="FFFFFFFF"/>
        <rFont val="Arial"/>
        <family val="0"/>
        <charset val="1"/>
      </rPr>
      <t xml:space="preserve">§10 </t>
    </r>
    <r>
      <rPr>
        <b val="true"/>
        <sz val="11"/>
        <color rgb="FFFFFFFF"/>
        <rFont val="DejaVu Sans"/>
        <family val="2"/>
      </rPr>
      <t xml:space="preserve">통계</t>
    </r>
  </si>
  <si>
    <r>
      <rPr>
        <b val="true"/>
        <sz val="11"/>
        <color rgb="FFFFFFFF"/>
        <rFont val="Arial"/>
        <family val="0"/>
        <charset val="1"/>
      </rPr>
      <t xml:space="preserve">§11 </t>
    </r>
    <r>
      <rPr>
        <b val="true"/>
        <sz val="11"/>
        <color rgb="FFFFFFFF"/>
        <rFont val="DejaVu Sans"/>
        <family val="2"/>
      </rPr>
      <t xml:space="preserve">비교카드</t>
    </r>
  </si>
  <si>
    <r>
      <rPr>
        <b val="true"/>
        <sz val="11"/>
        <color rgb="FFFFFFFF"/>
        <rFont val="Arial"/>
        <family val="0"/>
        <charset val="1"/>
      </rPr>
      <t xml:space="preserve">§12 </t>
    </r>
    <r>
      <rPr>
        <b val="true"/>
        <sz val="11"/>
        <color rgb="FFFFFFFF"/>
        <rFont val="DejaVu Sans"/>
        <family val="2"/>
      </rPr>
      <t xml:space="preserve">페르소나</t>
    </r>
  </si>
  <si>
    <r>
      <rPr>
        <b val="true"/>
        <sz val="11"/>
        <color rgb="FFFFFFFF"/>
        <rFont val="Arial"/>
        <family val="0"/>
        <charset val="1"/>
      </rPr>
      <t xml:space="preserve">§14 </t>
    </r>
    <r>
      <rPr>
        <b val="true"/>
        <sz val="11"/>
        <color rgb="FFFFFFFF"/>
        <rFont val="DejaVu Sans"/>
        <family val="2"/>
      </rPr>
      <t xml:space="preserve">후기</t>
    </r>
  </si>
  <si>
    <t xml:space="preserve">§15 StickyCTA</t>
  </si>
  <si>
    <t xml:space="preserve">진척</t>
  </si>
  <si>
    <t xml:space="preserve">목표</t>
  </si>
  <si>
    <t xml:space="preserve">todo</t>
  </si>
  <si>
    <r>
      <rPr>
        <b val="true"/>
        <sz val="10"/>
        <rFont val="Arial"/>
        <family val="0"/>
        <charset val="1"/>
      </rPr>
      <t xml:space="preserve">DB</t>
    </r>
    <r>
      <rPr>
        <b val="true"/>
        <sz val="10"/>
        <rFont val="DejaVu Sans"/>
        <family val="2"/>
      </rPr>
      <t xml:space="preserve">손해보험</t>
    </r>
  </si>
  <si>
    <r>
      <rPr>
        <b val="true"/>
        <sz val="10"/>
        <rFont val="Arial"/>
        <family val="0"/>
        <charset val="1"/>
      </rPr>
      <t xml:space="preserve">KB</t>
    </r>
    <r>
      <rPr>
        <b val="true"/>
        <sz val="10"/>
        <rFont val="DejaVu Sans"/>
        <family val="2"/>
      </rPr>
      <t xml:space="preserve">손해보험 다이렉트</t>
    </r>
  </si>
  <si>
    <t xml:space="preserve">합계</t>
  </si>
  <si>
    <t xml:space="preserve">섹션 최소 목표</t>
  </si>
  <si>
    <r>
      <rPr>
        <b val="true"/>
        <sz val="14"/>
        <color rgb="FF0F2A44"/>
        <rFont val="Arial"/>
        <family val="0"/>
        <charset val="1"/>
      </rPr>
      <t xml:space="preserve">Captures — </t>
    </r>
    <r>
      <rPr>
        <b val="true"/>
        <sz val="14"/>
        <color rgb="FF0F2A44"/>
        <rFont val="DejaVu Sans"/>
        <family val="2"/>
      </rPr>
      <t xml:space="preserve">레퍼런스 수집 로그</t>
    </r>
  </si>
  <si>
    <r>
      <rPr>
        <i val="true"/>
        <sz val="9"/>
        <color rgb="FF595959"/>
        <rFont val="DejaVu Sans"/>
        <family val="2"/>
      </rPr>
      <t xml:space="preserve">캡처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DejaVu Sans"/>
        <family val="2"/>
      </rPr>
      <t xml:space="preserve">건 </t>
    </r>
    <r>
      <rPr>
        <i val="true"/>
        <sz val="9"/>
        <color rgb="FF595959"/>
        <rFont val="Arial"/>
        <family val="0"/>
        <charset val="1"/>
      </rPr>
      <t xml:space="preserve">= 1</t>
    </r>
    <r>
      <rPr>
        <i val="true"/>
        <sz val="9"/>
        <color rgb="FF595959"/>
        <rFont val="DejaVu Sans"/>
        <family val="2"/>
      </rPr>
      <t xml:space="preserve">행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DejaVu Sans"/>
        <family val="2"/>
      </rPr>
      <t xml:space="preserve">루브릭 </t>
    </r>
    <r>
      <rPr>
        <i val="true"/>
        <sz val="9"/>
        <color rgb="FF595959"/>
        <rFont val="Arial"/>
        <family val="0"/>
        <charset val="1"/>
      </rPr>
      <t xml:space="preserve">Y/N 4</t>
    </r>
    <r>
      <rPr>
        <i val="true"/>
        <sz val="9"/>
        <color rgb="FF595959"/>
        <rFont val="DejaVu Sans"/>
        <family val="2"/>
      </rPr>
      <t xml:space="preserve">문항을 </t>
    </r>
    <r>
      <rPr>
        <i val="true"/>
        <sz val="9"/>
        <color rgb="FF595959"/>
        <rFont val="Arial"/>
        <family val="0"/>
        <charset val="1"/>
      </rPr>
      <t xml:space="preserve">TRUE/FALSE </t>
    </r>
    <r>
      <rPr>
        <i val="true"/>
        <sz val="9"/>
        <color rgb="FF595959"/>
        <rFont val="DejaVu Sans"/>
        <family val="2"/>
      </rPr>
      <t xml:space="preserve">또는 </t>
    </r>
    <r>
      <rPr>
        <i val="true"/>
        <sz val="9"/>
        <color rgb="FF595959"/>
        <rFont val="Arial"/>
        <family val="0"/>
        <charset val="1"/>
      </rPr>
      <t xml:space="preserve">1/0 </t>
    </r>
    <r>
      <rPr>
        <i val="true"/>
        <sz val="9"/>
        <color rgb="FF595959"/>
        <rFont val="DejaVu Sans"/>
        <family val="2"/>
      </rPr>
      <t xml:space="preserve">으로 입력 → ★ 자동 산출</t>
    </r>
    <r>
      <rPr>
        <i val="true"/>
        <sz val="9"/>
        <color rgb="FF595959"/>
        <rFont val="Arial"/>
        <family val="0"/>
        <charset val="1"/>
      </rPr>
      <t xml:space="preserve">. stars·y_sum </t>
    </r>
    <r>
      <rPr>
        <i val="true"/>
        <sz val="9"/>
        <color rgb="FF595959"/>
        <rFont val="DejaVu Sans"/>
        <family val="2"/>
      </rPr>
      <t xml:space="preserve">은 수식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</si>
  <si>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id</t>
  </si>
  <si>
    <t xml:space="preserve">brand</t>
  </si>
  <si>
    <t xml:space="preserve">section</t>
  </si>
  <si>
    <t xml:space="preserve">url</t>
  </si>
  <si>
    <t xml:space="preserve">tags</t>
  </si>
  <si>
    <t xml:space="preserve">note</t>
  </si>
  <si>
    <t xml:space="preserve">y_sum</t>
  </si>
  <si>
    <t xml:space="preserve">stars</t>
  </si>
  <si>
    <t xml:space="preserve">adopted</t>
  </si>
  <si>
    <t xml:space="preserve">reason</t>
  </si>
  <si>
    <t xml:space="preserve">R001</t>
  </si>
  <si>
    <t xml:space="preserve">R002</t>
  </si>
  <si>
    <t xml:space="preserve">R003</t>
  </si>
  <si>
    <t xml:space="preserve">R004</t>
  </si>
  <si>
    <t xml:space="preserve">R005</t>
  </si>
  <si>
    <t xml:space="preserve">R006</t>
  </si>
  <si>
    <t xml:space="preserve">R007</t>
  </si>
  <si>
    <t xml:space="preserve">R008</t>
  </si>
  <si>
    <t xml:space="preserve">R009</t>
  </si>
  <si>
    <t xml:space="preserve">R010</t>
  </si>
  <si>
    <t xml:space="preserve">R011</t>
  </si>
  <si>
    <t xml:space="preserve">R012</t>
  </si>
  <si>
    <t xml:space="preserve">R013</t>
  </si>
  <si>
    <t xml:space="preserve">R014</t>
  </si>
  <si>
    <t xml:space="preserve">R015</t>
  </si>
  <si>
    <t xml:space="preserve">R016</t>
  </si>
  <si>
    <t xml:space="preserve">R017</t>
  </si>
  <si>
    <t xml:space="preserve">R018</t>
  </si>
  <si>
    <t xml:space="preserve">R019</t>
  </si>
  <si>
    <t xml:space="preserve">R020</t>
  </si>
  <si>
    <t xml:space="preserve">R021</t>
  </si>
  <si>
    <t xml:space="preserve">R022</t>
  </si>
  <si>
    <t xml:space="preserve">R023</t>
  </si>
  <si>
    <t xml:space="preserve">R024</t>
  </si>
  <si>
    <t xml:space="preserve">R025</t>
  </si>
  <si>
    <t xml:space="preserve">R026</t>
  </si>
  <si>
    <t xml:space="preserve">R027</t>
  </si>
  <si>
    <t xml:space="preserve">R028</t>
  </si>
  <si>
    <t xml:space="preserve">R029</t>
  </si>
  <si>
    <t xml:space="preserve">R030</t>
  </si>
  <si>
    <t xml:space="preserve">R031</t>
  </si>
  <si>
    <t xml:space="preserve">R032</t>
  </si>
  <si>
    <t xml:space="preserve">R033</t>
  </si>
  <si>
    <t xml:space="preserve">R034</t>
  </si>
  <si>
    <t xml:space="preserve">R035</t>
  </si>
  <si>
    <t xml:space="preserve">R036</t>
  </si>
  <si>
    <t xml:space="preserve">R037</t>
  </si>
  <si>
    <t xml:space="preserve">R038</t>
  </si>
  <si>
    <t xml:space="preserve">R039</t>
  </si>
  <si>
    <t xml:space="preserve">R040</t>
  </si>
  <si>
    <t xml:space="preserve">R041</t>
  </si>
  <si>
    <t xml:space="preserve">R042</t>
  </si>
  <si>
    <t xml:space="preserve">R043</t>
  </si>
  <si>
    <t xml:space="preserve">R044</t>
  </si>
  <si>
    <t xml:space="preserve">R045</t>
  </si>
  <si>
    <t xml:space="preserve">R046</t>
  </si>
  <si>
    <t xml:space="preserve">R047</t>
  </si>
  <si>
    <t xml:space="preserve">R048</t>
  </si>
  <si>
    <t xml:space="preserve">R049</t>
  </si>
  <si>
    <t xml:space="preserve">R050</t>
  </si>
  <si>
    <t xml:space="preserve">R051</t>
  </si>
  <si>
    <t xml:space="preserve">R052</t>
  </si>
  <si>
    <t xml:space="preserve">R053</t>
  </si>
  <si>
    <t xml:space="preserve">R054</t>
  </si>
  <si>
    <t xml:space="preserve">R055</t>
  </si>
  <si>
    <t xml:space="preserve">R056</t>
  </si>
  <si>
    <t xml:space="preserve">R057</t>
  </si>
  <si>
    <t xml:space="preserve">R058</t>
  </si>
  <si>
    <t xml:space="preserve">R059</t>
  </si>
  <si>
    <t xml:space="preserve">R060</t>
  </si>
  <si>
    <r>
      <rPr>
        <b val="true"/>
        <sz val="14"/>
        <color rgb="FF0F2A44"/>
        <rFont val="Arial"/>
        <family val="0"/>
        <charset val="1"/>
      </rPr>
      <t xml:space="preserve">QA — </t>
    </r>
    <r>
      <rPr>
        <b val="true"/>
        <sz val="14"/>
        <color rgb="FF0F2A44"/>
        <rFont val="DejaVu Sans"/>
        <family val="2"/>
      </rPr>
      <t xml:space="preserve">자동 집계</t>
    </r>
    <r>
      <rPr>
        <b val="true"/>
        <sz val="14"/>
        <color rgb="FF0F2A44"/>
        <rFont val="Arial"/>
        <family val="0"/>
        <charset val="1"/>
      </rPr>
      <t xml:space="preserve">·</t>
    </r>
    <r>
      <rPr>
        <b val="true"/>
        <sz val="14"/>
        <color rgb="FF0F2A44"/>
        <rFont val="DejaVu Sans"/>
        <family val="2"/>
      </rPr>
      <t xml:space="preserve">경고</t>
    </r>
    <r>
      <rPr>
        <b val="true"/>
        <sz val="14"/>
        <color rgb="FF0F2A44"/>
        <rFont val="Arial"/>
        <family val="0"/>
        <charset val="1"/>
      </rPr>
      <t xml:space="preserve">·</t>
    </r>
    <r>
      <rPr>
        <b val="true"/>
        <sz val="14"/>
        <color rgb="FF0F2A44"/>
        <rFont val="DejaVu Sans"/>
        <family val="2"/>
      </rPr>
      <t xml:space="preserve">품질 </t>
    </r>
    <r>
      <rPr>
        <b val="true"/>
        <sz val="14"/>
        <color rgb="FF0F2A44"/>
        <rFont val="Arial"/>
        <family val="0"/>
        <charset val="1"/>
      </rPr>
      <t xml:space="preserve">16</t>
    </r>
    <r>
      <rPr>
        <b val="true"/>
        <sz val="14"/>
        <color rgb="FF0F2A44"/>
        <rFont val="DejaVu Sans"/>
        <family val="2"/>
      </rPr>
      <t xml:space="preserve">체크</t>
    </r>
  </si>
  <si>
    <r>
      <rPr>
        <i val="true"/>
        <sz val="9"/>
        <color rgb="FF595959"/>
        <rFont val="DejaVu Sans"/>
        <family val="2"/>
      </rPr>
      <t xml:space="preserve">모든 값은 </t>
    </r>
    <r>
      <rPr>
        <i val="true"/>
        <sz val="9"/>
        <color rgb="FF595959"/>
        <rFont val="Arial"/>
        <family val="0"/>
        <charset val="1"/>
      </rPr>
      <t xml:space="preserve">Captures </t>
    </r>
    <r>
      <rPr>
        <i val="true"/>
        <sz val="9"/>
        <color rgb="FF595959"/>
        <rFont val="DejaVu Sans"/>
        <family val="2"/>
      </rPr>
      <t xml:space="preserve">시트의 수식 결과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DejaVu Sans"/>
        <family val="2"/>
      </rPr>
      <t xml:space="preserve">빈 행이 많으면 </t>
    </r>
    <r>
      <rPr>
        <i val="true"/>
        <sz val="9"/>
        <color rgb="FF595959"/>
        <rFont val="Arial"/>
        <family val="0"/>
        <charset val="1"/>
      </rPr>
      <t xml:space="preserve">0</t>
    </r>
    <r>
      <rPr>
        <i val="true"/>
        <sz val="9"/>
        <color rgb="FF595959"/>
        <rFont val="DejaVu Sans"/>
        <family val="2"/>
      </rPr>
      <t xml:space="preserve">으로 집계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</si>
  <si>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1"/>
        <color rgb="FF1F4E78"/>
        <rFont val="Arial"/>
        <family val="0"/>
        <charset val="1"/>
      </rPr>
      <t xml:space="preserve">A. </t>
    </r>
    <r>
      <rPr>
        <b val="true"/>
        <sz val="11"/>
        <color rgb="FF1F4E78"/>
        <rFont val="DejaVu Sans"/>
        <family val="2"/>
      </rPr>
      <t xml:space="preserve">섹션별 진척 </t>
    </r>
    <r>
      <rPr>
        <b val="true"/>
        <sz val="11"/>
        <color rgb="FF1F4E78"/>
        <rFont val="Arial"/>
        <family val="0"/>
        <charset val="1"/>
      </rPr>
      <t xml:space="preserve">(</t>
    </r>
    <r>
      <rPr>
        <b val="true"/>
        <sz val="11"/>
        <color rgb="FF1F4E78"/>
        <rFont val="DejaVu Sans"/>
        <family val="2"/>
      </rPr>
      <t xml:space="preserve">목표 대비</t>
    </r>
    <r>
      <rPr>
        <b val="true"/>
        <sz val="11"/>
        <color rgb="FF1F4E78"/>
        <rFont val="Arial"/>
        <family val="0"/>
        <charset val="1"/>
      </rPr>
      <t xml:space="preserve">)</t>
    </r>
  </si>
  <si>
    <t xml:space="preserve">이름</t>
  </si>
  <si>
    <t xml:space="preserve">현재 건수</t>
  </si>
  <si>
    <t xml:space="preserve">최소 목표</t>
  </si>
  <si>
    <t xml:space="preserve">최대 목표</t>
  </si>
  <si>
    <t xml:space="preserve">상태</t>
  </si>
  <si>
    <t xml:space="preserve">§1</t>
  </si>
  <si>
    <t xml:space="preserve">GNB</t>
  </si>
  <si>
    <t xml:space="preserve">§2</t>
  </si>
  <si>
    <t xml:space="preserve">Hero</t>
  </si>
  <si>
    <t xml:space="preserve">§3</t>
  </si>
  <si>
    <r>
      <rPr>
        <sz val="10"/>
        <rFont val="DejaVu Sans"/>
        <family val="2"/>
      </rPr>
      <t xml:space="preserve">리드폼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인접</t>
    </r>
    <r>
      <rPr>
        <sz val="10"/>
        <rFont val="Arial"/>
        <family val="0"/>
        <charset val="1"/>
      </rPr>
      <t xml:space="preserve">)</t>
    </r>
  </si>
  <si>
    <t xml:space="preserve">§4</t>
  </si>
  <si>
    <r>
      <rPr>
        <sz val="10"/>
        <rFont val="DejaVu Sans"/>
        <family val="2"/>
      </rPr>
      <t xml:space="preserve">리드폼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중단</t>
    </r>
    <r>
      <rPr>
        <sz val="10"/>
        <rFont val="Arial"/>
        <family val="0"/>
        <charset val="1"/>
      </rPr>
      <t xml:space="preserve">)</t>
    </r>
  </si>
  <si>
    <t xml:space="preserve">§5</t>
  </si>
  <si>
    <t xml:space="preserve">수치카드</t>
  </si>
  <si>
    <t xml:space="preserve">§6</t>
  </si>
  <si>
    <t xml:space="preserve">상품카드</t>
  </si>
  <si>
    <t xml:space="preserve">§7</t>
  </si>
  <si>
    <t xml:space="preserve">로고월</t>
  </si>
  <si>
    <t xml:space="preserve">§8</t>
  </si>
  <si>
    <t xml:space="preserve">스텝</t>
  </si>
  <si>
    <t xml:space="preserve">§9</t>
  </si>
  <si>
    <t xml:space="preserve">상담사</t>
  </si>
  <si>
    <t xml:space="preserve">§10</t>
  </si>
  <si>
    <t xml:space="preserve">통계</t>
  </si>
  <si>
    <t xml:space="preserve">§11</t>
  </si>
  <si>
    <t xml:space="preserve">비교카드</t>
  </si>
  <si>
    <t xml:space="preserve">§12</t>
  </si>
  <si>
    <t xml:space="preserve">페르소나</t>
  </si>
  <si>
    <t xml:space="preserve">§13</t>
  </si>
  <si>
    <t xml:space="preserve">FAQ</t>
  </si>
  <si>
    <t xml:space="preserve">§14</t>
  </si>
  <si>
    <t xml:space="preserve">후기</t>
  </si>
  <si>
    <t xml:space="preserve">§15</t>
  </si>
  <si>
    <t xml:space="preserve">StickyCTA</t>
  </si>
  <si>
    <t xml:space="preserve">§16</t>
  </si>
  <si>
    <t xml:space="preserve">Footer</t>
  </si>
  <si>
    <r>
      <rPr>
        <b val="true"/>
        <sz val="11"/>
        <color rgb="FF1F4E78"/>
        <rFont val="Arial"/>
        <family val="0"/>
        <charset val="1"/>
      </rPr>
      <t xml:space="preserve">B. </t>
    </r>
    <r>
      <rPr>
        <b val="true"/>
        <sz val="11"/>
        <color rgb="FF1F4E78"/>
        <rFont val="DejaVu Sans"/>
        <family val="2"/>
      </rPr>
      <t xml:space="preserve">브랜드 커버리지</t>
    </r>
  </si>
  <si>
    <t xml:space="preserve">캡처 수</t>
  </si>
  <si>
    <r>
      <rPr>
        <b val="true"/>
        <sz val="10"/>
        <rFont val="DejaVu Sans"/>
        <family val="2"/>
      </rPr>
      <t xml:space="preserve">브랜드 </t>
    </r>
    <r>
      <rPr>
        <b val="true"/>
        <sz val="10"/>
        <rFont val="Arial"/>
        <family val="0"/>
        <charset val="1"/>
      </rPr>
      <t xml:space="preserve">15+ </t>
    </r>
    <r>
      <rPr>
        <b val="true"/>
        <sz val="10"/>
        <rFont val="DejaVu Sans"/>
        <family val="2"/>
      </rPr>
      <t xml:space="preserve">목표</t>
    </r>
  </si>
  <si>
    <r>
      <rPr>
        <b val="true"/>
        <sz val="11"/>
        <color rgb="FF1F4E78"/>
        <rFont val="Arial"/>
        <family val="0"/>
        <charset val="1"/>
      </rPr>
      <t xml:space="preserve">C. </t>
    </r>
    <r>
      <rPr>
        <b val="true"/>
        <sz val="11"/>
        <color rgb="FF1F4E78"/>
        <rFont val="DejaVu Sans"/>
        <family val="2"/>
      </rPr>
      <t xml:space="preserve">핵심 </t>
    </r>
    <r>
      <rPr>
        <b val="true"/>
        <sz val="11"/>
        <color rgb="FF1F4E78"/>
        <rFont val="Arial"/>
        <family val="0"/>
        <charset val="1"/>
      </rPr>
      <t xml:space="preserve">KPI &amp; </t>
    </r>
    <r>
      <rPr>
        <b val="true"/>
        <sz val="11"/>
        <color rgb="FF1F4E78"/>
        <rFont val="DejaVu Sans"/>
        <family val="2"/>
      </rPr>
      <t xml:space="preserve">경고</t>
    </r>
  </si>
  <si>
    <t xml:space="preserve">지표</t>
  </si>
  <si>
    <t xml:space="preserve">기준</t>
  </si>
  <si>
    <t xml:space="preserve">총 캡처 수</t>
  </si>
  <si>
    <r>
      <rPr>
        <sz val="10"/>
        <rFont val="Arial"/>
        <family val="0"/>
        <charset val="1"/>
      </rPr>
      <t xml:space="preserve">60+ </t>
    </r>
    <r>
      <rPr>
        <sz val="10"/>
        <rFont val="DejaVu Sans"/>
        <family val="2"/>
      </rPr>
      <t xml:space="preserve">권장</t>
    </r>
  </si>
  <si>
    <r>
      <rPr>
        <b val="true"/>
        <sz val="10"/>
        <rFont val="DejaVu Sans"/>
        <family val="2"/>
      </rPr>
      <t xml:space="preserve">채택 </t>
    </r>
    <r>
      <rPr>
        <b val="true"/>
        <sz val="10"/>
        <rFont val="Arial"/>
        <family val="0"/>
        <charset val="1"/>
      </rPr>
      <t xml:space="preserve">Yes </t>
    </r>
    <r>
      <rPr>
        <b val="true"/>
        <sz val="10"/>
        <rFont val="DejaVu Sans"/>
        <family val="2"/>
      </rPr>
      <t xml:space="preserve">수</t>
    </r>
  </si>
  <si>
    <r>
      <rPr>
        <sz val="10"/>
        <rFont val="DejaVu Sans"/>
        <family val="2"/>
      </rPr>
      <t xml:space="preserve">섹션당 </t>
    </r>
    <r>
      <rPr>
        <sz val="10"/>
        <rFont val="Arial"/>
        <family val="0"/>
        <charset val="1"/>
      </rPr>
      <t xml:space="preserve">1~2</t>
    </r>
    <r>
      <rPr>
        <sz val="10"/>
        <rFont val="DejaVu Sans"/>
        <family val="2"/>
      </rPr>
      <t xml:space="preserve">개 권장 </t>
    </r>
    <r>
      <rPr>
        <sz val="10"/>
        <rFont val="Arial"/>
        <family val="0"/>
        <charset val="1"/>
      </rPr>
      <t xml:space="preserve">(≥16)</t>
    </r>
  </si>
  <si>
    <t xml:space="preserve">★★★★★ 비율</t>
  </si>
  <si>
    <r>
      <rPr>
        <sz val="10"/>
        <rFont val="Arial"/>
        <family val="0"/>
        <charset val="1"/>
      </rPr>
      <t xml:space="preserve">≤30% (</t>
    </r>
    <r>
      <rPr>
        <sz val="10"/>
        <rFont val="DejaVu Sans"/>
        <family val="2"/>
      </rPr>
      <t xml:space="preserve">초과 시 재검수</t>
    </r>
    <r>
      <rPr>
        <sz val="10"/>
        <rFont val="Arial"/>
        <family val="0"/>
        <charset val="1"/>
      </rPr>
      <t xml:space="preserve">)</t>
    </r>
  </si>
  <si>
    <t xml:space="preserve">★ 제외 건수</t>
  </si>
  <si>
    <r>
      <rPr>
        <sz val="10"/>
        <rFont val="Arial"/>
        <family val="0"/>
        <charset val="1"/>
      </rPr>
      <t xml:space="preserve">reject_reason </t>
    </r>
    <r>
      <rPr>
        <sz val="10"/>
        <rFont val="DejaVu Sans"/>
        <family val="2"/>
      </rPr>
      <t xml:space="preserve">필수</t>
    </r>
  </si>
  <si>
    <r>
      <rPr>
        <b val="true"/>
        <sz val="10"/>
        <rFont val="DejaVu Sans"/>
        <family val="2"/>
      </rPr>
      <t xml:space="preserve">중복 </t>
    </r>
    <r>
      <rPr>
        <b val="true"/>
        <sz val="10"/>
        <rFont val="Arial"/>
        <family val="0"/>
        <charset val="1"/>
      </rPr>
      <t xml:space="preserve">variant </t>
    </r>
    <r>
      <rPr>
        <b val="true"/>
        <sz val="10"/>
        <rFont val="DejaVu Sans"/>
        <family val="2"/>
      </rPr>
      <t xml:space="preserve">탐지</t>
    </r>
  </si>
  <si>
    <r>
      <rPr>
        <sz val="10"/>
        <rFont val="DejaVu Sans"/>
        <family val="2"/>
      </rPr>
      <t xml:space="preserve">동일 섹션</t>
    </r>
    <r>
      <rPr>
        <sz val="10"/>
        <rFont val="Arial"/>
        <family val="0"/>
        <charset val="1"/>
      </rPr>
      <t xml:space="preserve">+variant </t>
    </r>
    <r>
      <rPr>
        <sz val="10"/>
        <rFont val="DejaVu Sans"/>
        <family val="2"/>
      </rPr>
      <t xml:space="preserve">중복 행 수 </t>
    </r>
    <r>
      <rPr>
        <sz val="10"/>
        <rFont val="Arial"/>
        <family val="0"/>
        <charset val="1"/>
      </rPr>
      <t xml:space="preserve">(0 </t>
    </r>
    <r>
      <rPr>
        <sz val="10"/>
        <rFont val="DejaVu Sans"/>
        <family val="2"/>
      </rPr>
      <t xml:space="preserve">이상이면 </t>
    </r>
    <r>
      <rPr>
        <sz val="10"/>
        <rFont val="Arial"/>
        <family val="0"/>
        <charset val="1"/>
      </rPr>
      <t xml:space="preserve">Q2 NO </t>
    </r>
    <r>
      <rPr>
        <sz val="10"/>
        <rFont val="DejaVu Sans"/>
        <family val="2"/>
      </rPr>
      <t xml:space="preserve">권고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</si>
  <si>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다크패턴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법무 플래그</t>
    </r>
  </si>
  <si>
    <r>
      <rPr>
        <sz val="10"/>
        <rFont val="DejaVu Sans"/>
        <family val="2"/>
      </rPr>
      <t xml:space="preserve">발견 시 </t>
    </r>
    <r>
      <rPr>
        <sz val="10"/>
        <rFont val="Arial"/>
        <family val="0"/>
        <charset val="1"/>
      </rPr>
      <t xml:space="preserve">Footer/</t>
    </r>
    <r>
      <rPr>
        <sz val="10"/>
        <rFont val="DejaVu Sans"/>
        <family val="2"/>
      </rPr>
      <t xml:space="preserve">후기 법무 검토 필수</t>
    </r>
  </si>
  <si>
    <r>
      <rPr>
        <b val="true"/>
        <sz val="11"/>
        <color rgb="FF1F4E78"/>
        <rFont val="Arial"/>
        <family val="0"/>
        <charset val="1"/>
      </rPr>
      <t xml:space="preserve">D. </t>
    </r>
    <r>
      <rPr>
        <b val="true"/>
        <sz val="11"/>
        <color rgb="FF1F4E78"/>
        <rFont val="DejaVu Sans"/>
        <family val="2"/>
      </rPr>
      <t xml:space="preserve">제출 전 품질 </t>
    </r>
    <r>
      <rPr>
        <b val="true"/>
        <sz val="11"/>
        <color rgb="FF1F4E78"/>
        <rFont val="Arial"/>
        <family val="0"/>
        <charset val="1"/>
      </rPr>
      <t xml:space="preserve">16</t>
    </r>
    <r>
      <rPr>
        <b val="true"/>
        <sz val="11"/>
        <color rgb="FF1F4E78"/>
        <rFont val="DejaVu Sans"/>
        <family val="2"/>
      </rPr>
      <t xml:space="preserve">체크 </t>
    </r>
    <r>
      <rPr>
        <b val="true"/>
        <sz val="11"/>
        <color rgb="FF1F4E78"/>
        <rFont val="Arial"/>
        <family val="0"/>
        <charset val="1"/>
      </rPr>
      <t xml:space="preserve">(</t>
    </r>
    <r>
      <rPr>
        <b val="true"/>
        <sz val="11"/>
        <color rgb="FF1F4E78"/>
        <rFont val="DejaVu Sans"/>
        <family val="2"/>
      </rPr>
      <t xml:space="preserve">브리프 </t>
    </r>
    <r>
      <rPr>
        <b val="true"/>
        <sz val="11"/>
        <color rgb="FF1F4E78"/>
        <rFont val="Arial"/>
        <family val="0"/>
        <charset val="1"/>
      </rPr>
      <t xml:space="preserve">§6)</t>
    </r>
  </si>
  <si>
    <t xml:space="preserve">체크 항목</t>
  </si>
  <si>
    <t xml:space="preserve">자동 판정</t>
  </si>
  <si>
    <t xml:space="preserve">수동 확인</t>
  </si>
  <si>
    <t xml:space="preserve">1</t>
  </si>
  <si>
    <r>
      <rPr>
        <sz val="10"/>
        <rFont val="DejaVu Sans"/>
        <family val="2"/>
      </rPr>
      <t xml:space="preserve">섹션 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종 전부 커버</t>
    </r>
  </si>
  <si>
    <r>
      <rPr>
        <sz val="10"/>
        <rFont val="DejaVu Sans"/>
        <family val="2"/>
      </rPr>
      <t xml:space="preserve">각 섹션 ≥</t>
    </r>
    <r>
      <rPr>
        <sz val="10"/>
        <rFont val="Arial"/>
        <family val="0"/>
        <charset val="1"/>
      </rPr>
      <t xml:space="preserve">1</t>
    </r>
  </si>
  <si>
    <t xml:space="preserve">2</t>
  </si>
  <si>
    <r>
      <rPr>
        <sz val="10"/>
        <rFont val="DejaVu Sans"/>
        <family val="2"/>
      </rPr>
      <t xml:space="preserve">섹션당 </t>
    </r>
    <r>
      <rPr>
        <sz val="10"/>
        <rFont val="Arial"/>
        <family val="0"/>
        <charset val="1"/>
      </rPr>
      <t xml:space="preserve">variant 3</t>
    </r>
    <r>
      <rPr>
        <sz val="10"/>
        <rFont val="DejaVu Sans"/>
        <family val="2"/>
      </rPr>
      <t xml:space="preserve">개 이상</t>
    </r>
  </si>
  <si>
    <r>
      <rPr>
        <sz val="10"/>
        <rFont val="DejaVu Sans"/>
        <family val="2"/>
      </rPr>
      <t xml:space="preserve">일부 예외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상담사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후기</t>
    </r>
    <r>
      <rPr>
        <sz val="10"/>
        <rFont val="Arial"/>
        <family val="0"/>
        <charset val="1"/>
      </rPr>
      <t xml:space="preserve">) 2</t>
    </r>
    <r>
      <rPr>
        <sz val="10"/>
        <rFont val="DejaVu Sans"/>
        <family val="2"/>
      </rPr>
      <t xml:space="preserve">개 허용</t>
    </r>
  </si>
  <si>
    <r>
      <rPr>
        <sz val="10"/>
        <rFont val="DejaVu Sans"/>
        <family val="2"/>
      </rPr>
      <t xml:space="preserve">브랜드 </t>
    </r>
    <r>
      <rPr>
        <sz val="10"/>
        <rFont val="Arial"/>
        <family val="0"/>
        <charset val="1"/>
      </rPr>
      <t xml:space="preserve">15</t>
    </r>
    <r>
      <rPr>
        <sz val="10"/>
        <rFont val="DejaVu Sans"/>
        <family val="2"/>
      </rPr>
      <t xml:space="preserve">개 이상 등장</t>
    </r>
  </si>
  <si>
    <t xml:space="preserve">합산 기준</t>
  </si>
  <si>
    <t xml:space="preserve">4</t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</si>
  <si>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군 </t>
    </r>
    <r>
      <rPr>
        <sz val="10"/>
        <rFont val="Arial"/>
        <family val="0"/>
        <charset val="1"/>
      </rPr>
      <t xml:space="preserve">GA </t>
    </r>
    <r>
      <rPr>
        <sz val="10"/>
        <rFont val="DejaVu Sans"/>
        <family val="2"/>
      </rPr>
      <t xml:space="preserve">브랜드 최소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개</t>
    </r>
  </si>
  <si>
    <r>
      <rPr>
        <sz val="10"/>
        <rFont val="Arial"/>
        <family val="0"/>
        <charset val="1"/>
      </rPr>
      <t xml:space="preserve">GA </t>
    </r>
    <r>
      <rPr>
        <sz val="10"/>
        <rFont val="DejaVu Sans"/>
        <family val="2"/>
      </rPr>
      <t xml:space="preserve">표준 보장</t>
    </r>
  </si>
  <si>
    <t xml:space="preserve">변형 축 서로 다름</t>
  </si>
  <si>
    <r>
      <rPr>
        <sz val="10"/>
        <rFont val="DejaVu Sans"/>
        <family val="2"/>
      </rPr>
      <t xml:space="preserve">동일 섹션</t>
    </r>
    <r>
      <rPr>
        <sz val="10"/>
        <rFont val="Arial"/>
        <family val="0"/>
        <charset val="1"/>
      </rPr>
      <t xml:space="preserve">+variant </t>
    </r>
    <r>
      <rPr>
        <sz val="10"/>
        <rFont val="DejaVu Sans"/>
        <family val="2"/>
      </rPr>
      <t xml:space="preserve">중복 없음</t>
    </r>
  </si>
  <si>
    <t xml:space="preserve">6</t>
  </si>
  <si>
    <t xml:space="preserve">모든 행에 메타 기입</t>
  </si>
  <si>
    <r>
      <rPr>
        <sz val="10"/>
        <rFont val="Arial"/>
        <family val="0"/>
        <charset val="1"/>
      </rPr>
      <t xml:space="preserve">y_ga/y_origin/y_polish/y_feasible </t>
    </r>
    <r>
      <rPr>
        <sz val="10"/>
        <rFont val="DejaVu Sans"/>
        <family val="2"/>
      </rPr>
      <t xml:space="preserve">모두 채움</t>
    </r>
  </si>
  <si>
    <t xml:space="preserve">7</t>
  </si>
  <si>
    <r>
      <rPr>
        <sz val="10"/>
        <rFont val="DejaVu Sans"/>
        <family val="2"/>
      </rPr>
      <t xml:space="preserve">강도</t>
    </r>
    <r>
      <rPr>
        <sz val="10"/>
        <rFont val="Arial"/>
        <family val="0"/>
        <charset val="1"/>
      </rPr>
      <t xml:space="preserve">(★) </t>
    </r>
    <r>
      <rPr>
        <sz val="10"/>
        <rFont val="DejaVu Sans"/>
        <family val="2"/>
      </rPr>
      <t xml:space="preserve">전 항목 기재</t>
    </r>
  </si>
  <si>
    <r>
      <rPr>
        <sz val="10"/>
        <rFont val="DejaVu Sans"/>
        <family val="2"/>
      </rPr>
      <t xml:space="preserve">루브릭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문항 모두</t>
    </r>
  </si>
  <si>
    <t xml:space="preserve">8</t>
  </si>
  <si>
    <r>
      <rPr>
        <sz val="10"/>
        <rFont val="DejaVu Sans"/>
        <family val="2"/>
      </rPr>
      <t xml:space="preserve">데스크톱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모바일 쌍 캡처</t>
    </r>
  </si>
  <si>
    <r>
      <rPr>
        <sz val="10"/>
        <rFont val="Arial"/>
        <family val="0"/>
        <charset val="1"/>
      </rPr>
      <t xml:space="preserve">Figma </t>
    </r>
    <r>
      <rPr>
        <sz val="10"/>
        <rFont val="DejaVu Sans"/>
        <family val="2"/>
      </rPr>
      <t xml:space="preserve">보드에서 수동 확인</t>
    </r>
  </si>
  <si>
    <r>
      <rPr>
        <b val="true"/>
        <sz val="10"/>
        <rFont val="Arial"/>
        <family val="0"/>
        <charset val="1"/>
      </rPr>
      <t xml:space="preserve">"Figma </t>
    </r>
    <r>
      <rPr>
        <b val="true"/>
        <sz val="10"/>
        <rFont val="DejaVu Sans"/>
        <family val="2"/>
      </rPr>
      <t xml:space="preserve">수동</t>
    </r>
    <r>
      <rPr>
        <b val="true"/>
        <sz val="10"/>
        <rFont val="Arial"/>
        <family val="0"/>
        <charset val="1"/>
      </rPr>
      <t xml:space="preserve">"</t>
    </r>
  </si>
  <si>
    <t xml:space="preserve">9</t>
  </si>
  <si>
    <t xml:space="preserve">개인정보 마스킹 완료</t>
  </si>
  <si>
    <r>
      <rPr>
        <sz val="10"/>
        <rFont val="DejaVu Sans"/>
        <family val="2"/>
      </rPr>
      <t xml:space="preserve">후기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상담사 사진 수동 확인</t>
    </r>
  </si>
  <si>
    <t xml:space="preserve">10</t>
  </si>
  <si>
    <r>
      <rPr>
        <sz val="10"/>
        <rFont val="Arial"/>
        <family val="0"/>
        <charset val="1"/>
      </rPr>
      <t xml:space="preserve">Page 2 </t>
    </r>
    <r>
      <rPr>
        <sz val="10"/>
        <rFont val="DejaVu Sans"/>
        <family val="2"/>
      </rPr>
      <t xml:space="preserve">컬러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폰트 샘플링 </t>
    </r>
    <r>
      <rPr>
        <sz val="10"/>
        <rFont val="Arial"/>
        <family val="0"/>
        <charset val="1"/>
      </rPr>
      <t xml:space="preserve">15+</t>
    </r>
  </si>
  <si>
    <t xml:space="preserve">Figma Page 2</t>
  </si>
  <si>
    <t xml:space="preserve">11</t>
  </si>
  <si>
    <r>
      <rPr>
        <sz val="10"/>
        <rFont val="Arial"/>
        <family val="0"/>
        <charset val="1"/>
      </rPr>
      <t xml:space="preserve">Page 5 </t>
    </r>
    <r>
      <rPr>
        <sz val="10"/>
        <rFont val="DejaVu Sans"/>
        <family val="2"/>
      </rPr>
      <t xml:space="preserve">큐레이션 노트 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개</t>
    </r>
  </si>
  <si>
    <t xml:space="preserve">Figma Page 5</t>
  </si>
  <si>
    <t xml:space="preserve">12</t>
  </si>
  <si>
    <r>
      <rPr>
        <sz val="10"/>
        <rFont val="DejaVu Sans"/>
        <family val="2"/>
      </rPr>
      <t xml:space="preserve">캡처 해상도 </t>
    </r>
    <r>
      <rPr>
        <sz val="10"/>
        <rFont val="Arial"/>
        <family val="0"/>
        <charset val="1"/>
      </rPr>
      <t xml:space="preserve">2x </t>
    </r>
    <r>
      <rPr>
        <sz val="10"/>
        <rFont val="DejaVu Sans"/>
        <family val="2"/>
      </rPr>
      <t xml:space="preserve">이상</t>
    </r>
  </si>
  <si>
    <r>
      <rPr>
        <sz val="10"/>
        <rFont val="Arial"/>
        <family val="0"/>
        <charset val="1"/>
      </rPr>
      <t xml:space="preserve">Figma </t>
    </r>
    <r>
      <rPr>
        <sz val="10"/>
        <rFont val="DejaVu Sans"/>
        <family val="2"/>
      </rPr>
      <t xml:space="preserve">수동</t>
    </r>
  </si>
  <si>
    <t xml:space="preserve">13</t>
  </si>
  <si>
    <r>
      <rPr>
        <sz val="10"/>
        <rFont val="Arial"/>
        <family val="0"/>
        <charset val="1"/>
      </rPr>
      <t xml:space="preserve">URL + </t>
    </r>
    <r>
      <rPr>
        <sz val="10"/>
        <rFont val="DejaVu Sans"/>
        <family val="2"/>
      </rPr>
      <t xml:space="preserve">캡처일자 기재</t>
    </r>
  </si>
  <si>
    <r>
      <rPr>
        <sz val="10"/>
        <rFont val="DejaVu Sans"/>
        <family val="2"/>
      </rPr>
      <t xml:space="preserve">각 행 </t>
    </r>
    <r>
      <rPr>
        <sz val="10"/>
        <rFont val="Arial"/>
        <family val="0"/>
        <charset val="1"/>
      </rPr>
      <t xml:space="preserve">URL </t>
    </r>
    <r>
      <rPr>
        <sz val="10"/>
        <rFont val="DejaVu Sans"/>
        <family val="2"/>
      </rPr>
      <t xml:space="preserve">채움</t>
    </r>
  </si>
  <si>
    <t xml:space="preserve">14</t>
  </si>
  <si>
    <r>
      <rPr>
        <sz val="10"/>
        <rFont val="Arial"/>
        <family val="0"/>
        <charset val="1"/>
      </rPr>
      <t xml:space="preserve">Figma </t>
    </r>
    <r>
      <rPr>
        <sz val="10"/>
        <rFont val="DejaVu Sans"/>
        <family val="2"/>
      </rPr>
      <t xml:space="preserve">보드 페이지 구조 정합</t>
    </r>
  </si>
  <si>
    <t xml:space="preserve">15</t>
  </si>
  <si>
    <r>
      <rPr>
        <sz val="10"/>
        <rFont val="DejaVu Sans"/>
        <family val="2"/>
      </rPr>
      <t xml:space="preserve">채택안</t>
    </r>
    <r>
      <rPr>
        <sz val="10"/>
        <rFont val="Arial"/>
        <family val="0"/>
        <charset val="1"/>
      </rPr>
      <t xml:space="preserve">(Yes/No/</t>
    </r>
    <r>
      <rPr>
        <sz val="10"/>
        <rFont val="DejaVu Sans"/>
        <family val="2"/>
      </rPr>
      <t xml:space="preserve">조건부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분류 기재</t>
    </r>
  </si>
  <si>
    <r>
      <rPr>
        <sz val="10"/>
        <rFont val="DejaVu Sans"/>
        <family val="2"/>
      </rPr>
      <t xml:space="preserve">각 행 </t>
    </r>
    <r>
      <rPr>
        <sz val="10"/>
        <rFont val="Arial"/>
        <family val="0"/>
        <charset val="1"/>
      </rPr>
      <t xml:space="preserve">adopted </t>
    </r>
    <r>
      <rPr>
        <sz val="10"/>
        <rFont val="DejaVu Sans"/>
        <family val="2"/>
      </rPr>
      <t xml:space="preserve">채움</t>
    </r>
  </si>
  <si>
    <t xml:space="preserve">16</t>
  </si>
  <si>
    <t xml:space="preserve">파일명 규칙 준수</t>
  </si>
  <si>
    <r>
      <rPr>
        <sz val="10"/>
        <rFont val="DejaVu Sans"/>
        <family val="2"/>
      </rPr>
      <t xml:space="preserve">엠플랜잇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랜딩</t>
    </r>
    <r>
      <rPr>
        <sz val="10"/>
        <rFont val="Arial"/>
        <family val="0"/>
        <charset val="1"/>
      </rPr>
      <t xml:space="preserve">_</t>
    </r>
    <r>
      <rPr>
        <sz val="10"/>
        <rFont val="DejaVu Sans"/>
        <family val="2"/>
      </rPr>
      <t xml:space="preserve">레퍼런스보드</t>
    </r>
    <r>
      <rPr>
        <sz val="10"/>
        <rFont val="Arial"/>
        <family val="0"/>
        <charset val="1"/>
      </rPr>
      <t xml:space="preserve">_v1.fig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</si>
</sst>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2A44"/>
      <name val="DejaVu Sans"/>
      <family val="2"/>
    </font>
    <font>
      <b val="true"/>
      <sz val="14"/>
      <color rgb="FF0F2A4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DejaVu Sans"/>
      <family val="2"/>
    </font>
    <font>
      <b val="true"/>
      <sz val="11"/>
      <color rgb="FF1F4E78"/>
      <name val="Arial"/>
      <family val="0"/>
      <charset val="1"/>
    </font>
    <font>
      <b val="true"/>
      <sz val="11"/>
      <color rgb="FF1F4E78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name val="Arial"/>
      <family val="0"/>
      <charset val="1"/>
    </font>
    <font>
      <b val="true"/>
      <sz val="10"/>
      <name val="DejaVu Sans"/>
      <family val="2"/>
    </font>
    <font>
      <u val="single"/>
      <sz val="10"/>
      <color rgb="FF1F4E7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2A44"/>
        <bgColor rgb="FF333333"/>
      </patternFill>
    </fill>
    <fill>
      <patternFill patternType="solid">
        <fgColor rgb="FFD9E7F4"/>
        <bgColor rgb="FFE8F5E9"/>
      </patternFill>
    </fill>
    <fill>
      <patternFill patternType="solid">
        <fgColor rgb="FFE8F5E9"/>
        <bgColor rgb="FFF2F2F2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  <fill>
      <patternFill patternType="solid">
        <fgColor rgb="FFF2F2F2"/>
        <bgColor rgb="FFE8F5E9"/>
      </patternFill>
    </fill>
    <fill>
      <patternFill patternType="solid">
        <fgColor rgb="FFFFF9C4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2E7D32"/>
        <sz val="10"/>
      </font>
      <fill>
        <patternFill>
          <bgColor rgb="FFE8F5E9"/>
        </patternFill>
      </fill>
    </dxf>
    <dxf>
      <font>
        <name val="Arial"/>
        <charset val="1"/>
        <family val="0"/>
        <b val="1"/>
        <color rgb="FFE65100"/>
        <sz val="10"/>
      </font>
      <fill>
        <patternFill>
          <bgColor rgb="FFFFF9C4"/>
        </patternFill>
      </fill>
    </dxf>
    <dxf>
      <font>
        <name val="Arial"/>
        <charset val="1"/>
        <family val="0"/>
        <i val="1"/>
        <color rgb="FFC62828"/>
        <sz val="10"/>
      </font>
      <fill>
        <patternFill>
          <bgColor rgb="FFFFEBEE"/>
        </patternFill>
      </fill>
    </dxf>
    <dxf>
      <font>
        <name val="Arial"/>
        <charset val="1"/>
        <family val="0"/>
        <b val="1"/>
        <color rgb="FFE65100"/>
        <sz val="10"/>
      </font>
      <fill>
        <patternFill>
          <bgColor rgb="FFFFF3E0"/>
        </patternFill>
      </fill>
    </dxf>
    <dxf>
      <font>
        <name val="Arial"/>
        <charset val="1"/>
        <family val="0"/>
        <b val="1"/>
        <color rgb="FFC62828"/>
        <sz val="10"/>
      </font>
      <fill>
        <patternFill>
          <bgColor rgb="FFFFEBEE"/>
        </patternFill>
      </fill>
    </dxf>
    <dxf>
      <fill>
        <patternFill>
          <bgColor rgb="FFE8F5E9"/>
        </patternFill>
      </fill>
    </dxf>
    <dxf>
      <fill>
        <patternFill>
          <bgColor rgb="FFFFEB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7F4"/>
      <rgbColor rgb="FFF2F2F2"/>
      <rgbColor rgb="FFFFF3E0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E65100"/>
      <rgbColor rgb="FF595959"/>
      <rgbColor rgb="FF969696"/>
      <rgbColor rgb="FF0F2A44"/>
      <rgbColor rgb="FF2E7D32"/>
      <rgbColor rgb="FF003300"/>
      <rgbColor rgb="FF333300"/>
      <rgbColor rgb="FFC62828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kiwoomasset.com/" TargetMode="External"/><Relationship Id="rId2" Type="http://schemas.openxmlformats.org/officeDocument/2006/relationships/hyperlink" Target="https://www.metarich.co.kr/" TargetMode="External"/><Relationship Id="rId3" Type="http://schemas.openxmlformats.org/officeDocument/2006/relationships/hyperlink" Target="https://goodrich.co.kr/" TargetMode="External"/><Relationship Id="rId4" Type="http://schemas.openxmlformats.org/officeDocument/2006/relationships/hyperlink" Target="https://e-insmarket.or.kr/" TargetMode="External"/><Relationship Id="rId5" Type="http://schemas.openxmlformats.org/officeDocument/2006/relationships/hyperlink" Target="https://cont.credit4u.or.kr/" TargetMode="External"/><Relationship Id="rId6" Type="http://schemas.openxmlformats.org/officeDocument/2006/relationships/hyperlink" Target="https://bomapp.co.kr/" TargetMode="External"/><Relationship Id="rId7" Type="http://schemas.openxmlformats.org/officeDocument/2006/relationships/hyperlink" Target="https://www.insuplus.co.kr/" TargetMode="External"/><Relationship Id="rId8" Type="http://schemas.openxmlformats.org/officeDocument/2006/relationships/hyperlink" Target="https://toss.im/insurance" TargetMode="External"/><Relationship Id="rId9" Type="http://schemas.openxmlformats.org/officeDocument/2006/relationships/hyperlink" Target="https://direct.samsungfire.com/" TargetMode="External"/><Relationship Id="rId10" Type="http://schemas.openxmlformats.org/officeDocument/2006/relationships/hyperlink" Target="https://www.idbins.com/" TargetMode="External"/><Relationship Id="rId11" Type="http://schemas.openxmlformats.org/officeDocument/2006/relationships/hyperlink" Target="https://direct.hi.co.kr/" TargetMode="External"/><Relationship Id="rId12" Type="http://schemas.openxmlformats.org/officeDocument/2006/relationships/hyperlink" Target="https://direct.meritzfire.com/" TargetMode="External"/><Relationship Id="rId13" Type="http://schemas.openxmlformats.org/officeDocument/2006/relationships/hyperlink" Target="https://www.carrotins.com/" TargetMode="External"/><Relationship Id="rId14" Type="http://schemas.openxmlformats.org/officeDocument/2006/relationships/hyperlink" Target="https://direct.kbinsure.co.kr/" TargetMode="External"/><Relationship Id="rId15" Type="http://schemas.openxmlformats.org/officeDocument/2006/relationships/hyperlink" Target="https://direct.lina.co.kr/" TargetMode="External"/><Relationship Id="rId16" Type="http://schemas.openxmlformats.org/officeDocument/2006/relationships/hyperlink" Target="https://toss.im/" TargetMode="External"/><Relationship Id="rId17" Type="http://schemas.openxmlformats.org/officeDocument/2006/relationships/hyperlink" Target="https://www.kakaopay.com/" TargetMode="External"/><Relationship Id="rId18" Type="http://schemas.openxmlformats.org/officeDocument/2006/relationships/hyperlink" Target="https://banksalad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4" min="3" style="0" width="42"/>
    <col collapsed="false" customWidth="true" hidden="false" outlineLevel="0" max="5" min="5" style="0" width="28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4.9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  <c r="F5" s="4"/>
    </row>
    <row r="7" customFormat="false" ht="14.9" hidden="false" customHeight="false" outlineLevel="0" collapsed="false">
      <c r="A7" s="3" t="s">
        <v>4</v>
      </c>
      <c r="B7" s="3"/>
      <c r="C7" s="3"/>
      <c r="D7" s="3"/>
      <c r="E7" s="3"/>
      <c r="F7" s="3"/>
    </row>
    <row r="8" customFormat="false" ht="12.65" hidden="false" customHeight="false" outlineLevel="0" collapsed="false">
      <c r="A8" s="5" t="s">
        <v>5</v>
      </c>
      <c r="B8" s="5"/>
      <c r="C8" s="5"/>
      <c r="D8" s="5"/>
      <c r="E8" s="5"/>
      <c r="F8" s="5"/>
    </row>
    <row r="10" customFormat="false" ht="15" hidden="false" customHeight="false" outlineLevel="0" collapsed="false">
      <c r="A10" s="6" t="s">
        <v>6</v>
      </c>
      <c r="B10" s="7" t="s">
        <v>7</v>
      </c>
      <c r="C10" s="6" t="s">
        <v>8</v>
      </c>
      <c r="D10" s="6" t="s">
        <v>9</v>
      </c>
      <c r="E10" s="7" t="s">
        <v>10</v>
      </c>
      <c r="F10" s="7" t="s">
        <v>11</v>
      </c>
    </row>
    <row r="11" customFormat="false" ht="15" hidden="false" customHeight="false" outlineLevel="0" collapsed="false">
      <c r="A11" s="8" t="s">
        <v>12</v>
      </c>
      <c r="B11" s="8" t="s">
        <v>13</v>
      </c>
      <c r="C11" s="9" t="s">
        <v>14</v>
      </c>
      <c r="D11" s="9" t="s">
        <v>15</v>
      </c>
      <c r="E11" s="9" t="s">
        <v>16</v>
      </c>
      <c r="F11" s="8" t="s">
        <v>17</v>
      </c>
    </row>
    <row r="12" customFormat="false" ht="23.85" hidden="false" customHeight="false" outlineLevel="0" collapsed="false">
      <c r="A12" s="8" t="s">
        <v>18</v>
      </c>
      <c r="B12" s="9" t="s">
        <v>19</v>
      </c>
      <c r="C12" s="9" t="s">
        <v>20</v>
      </c>
      <c r="D12" s="9" t="s">
        <v>21</v>
      </c>
      <c r="E12" s="9" t="s">
        <v>22</v>
      </c>
      <c r="F12" s="8" t="s">
        <v>23</v>
      </c>
    </row>
    <row r="13" customFormat="false" ht="15" hidden="false" customHeight="false" outlineLevel="0" collapsed="false">
      <c r="A13" s="8" t="s">
        <v>24</v>
      </c>
      <c r="B13" s="8" t="s">
        <v>25</v>
      </c>
      <c r="C13" s="9" t="s">
        <v>26</v>
      </c>
      <c r="D13" s="9" t="s">
        <v>27</v>
      </c>
      <c r="E13" s="9" t="s">
        <v>28</v>
      </c>
      <c r="F13" s="8" t="s">
        <v>29</v>
      </c>
    </row>
    <row r="14" customFormat="false" ht="23.85" hidden="false" customHeight="false" outlineLevel="0" collapsed="false">
      <c r="A14" s="8" t="s">
        <v>30</v>
      </c>
      <c r="B14" s="9" t="s">
        <v>31</v>
      </c>
      <c r="C14" s="9" t="s">
        <v>32</v>
      </c>
      <c r="D14" s="9" t="s">
        <v>33</v>
      </c>
      <c r="E14" s="9" t="s">
        <v>34</v>
      </c>
      <c r="F14" s="8" t="s">
        <v>35</v>
      </c>
    </row>
    <row r="16" customFormat="false" ht="15" hidden="false" customHeight="false" outlineLevel="0" collapsed="false">
      <c r="A16" s="6" t="s">
        <v>36</v>
      </c>
      <c r="B16" s="7" t="s">
        <v>37</v>
      </c>
      <c r="C16" s="7" t="s">
        <v>38</v>
      </c>
      <c r="D16" s="6"/>
      <c r="E16" s="6"/>
      <c r="F16" s="6"/>
    </row>
    <row r="17" customFormat="false" ht="15" hidden="false" customHeight="false" outlineLevel="0" collapsed="false">
      <c r="A17" s="10" t="s">
        <v>39</v>
      </c>
      <c r="B17" s="11" t="s">
        <v>40</v>
      </c>
      <c r="C17" s="9" t="s">
        <v>41</v>
      </c>
      <c r="D17" s="9"/>
      <c r="E17" s="9"/>
      <c r="F17" s="9"/>
    </row>
    <row r="18" customFormat="false" ht="15" hidden="false" customHeight="false" outlineLevel="0" collapsed="false">
      <c r="A18" s="10" t="s">
        <v>42</v>
      </c>
      <c r="B18" s="11" t="s">
        <v>43</v>
      </c>
      <c r="C18" s="9" t="s">
        <v>44</v>
      </c>
      <c r="D18" s="9"/>
      <c r="E18" s="9"/>
      <c r="F18" s="9"/>
    </row>
    <row r="19" customFormat="false" ht="15" hidden="false" customHeight="false" outlineLevel="0" collapsed="false">
      <c r="A19" s="10" t="s">
        <v>45</v>
      </c>
      <c r="B19" s="11" t="s">
        <v>46</v>
      </c>
      <c r="C19" s="9" t="s">
        <v>47</v>
      </c>
      <c r="D19" s="9"/>
      <c r="E19" s="9"/>
      <c r="F19" s="9"/>
    </row>
    <row r="20" customFormat="false" ht="15" hidden="false" customHeight="false" outlineLevel="0" collapsed="false">
      <c r="A20" s="10" t="s">
        <v>48</v>
      </c>
      <c r="B20" s="11" t="s">
        <v>49</v>
      </c>
      <c r="C20" s="9" t="s">
        <v>50</v>
      </c>
      <c r="D20" s="9"/>
      <c r="E20" s="9"/>
      <c r="F20" s="9"/>
    </row>
    <row r="21" customFormat="false" ht="23.85" hidden="false" customHeight="false" outlineLevel="0" collapsed="false">
      <c r="A21" s="10" t="s">
        <v>51</v>
      </c>
      <c r="B21" s="11" t="s">
        <v>52</v>
      </c>
      <c r="C21" s="9" t="s">
        <v>53</v>
      </c>
      <c r="D21" s="9"/>
      <c r="E21" s="9"/>
      <c r="F21" s="9"/>
    </row>
    <row r="23" customFormat="false" ht="54.75" hidden="false" customHeight="true" outlineLevel="0" collapsed="false">
      <c r="A23" s="12" t="s">
        <v>54</v>
      </c>
      <c r="B23" s="12"/>
      <c r="C23" s="12"/>
      <c r="D23" s="12"/>
      <c r="E23" s="12"/>
      <c r="F23" s="12"/>
    </row>
    <row r="25" customFormat="false" ht="14.9" hidden="false" customHeight="false" outlineLevel="0" collapsed="false">
      <c r="A25" s="3" t="s">
        <v>55</v>
      </c>
      <c r="B25" s="3"/>
      <c r="C25" s="3"/>
      <c r="D25" s="3"/>
      <c r="E25" s="3"/>
      <c r="F25" s="3"/>
    </row>
    <row r="26" customFormat="false" ht="15" hidden="false" customHeight="false" outlineLevel="0" collapsed="false">
      <c r="A26" s="7" t="s">
        <v>56</v>
      </c>
      <c r="B26" s="7" t="s">
        <v>57</v>
      </c>
      <c r="C26" s="7" t="s">
        <v>58</v>
      </c>
      <c r="D26" s="6"/>
      <c r="E26" s="6"/>
      <c r="F26" s="6"/>
    </row>
    <row r="27" customFormat="false" ht="15" hidden="false" customHeight="true" outlineLevel="0" collapsed="false">
      <c r="A27" s="13" t="s">
        <v>59</v>
      </c>
      <c r="B27" s="8" t="s">
        <v>60</v>
      </c>
      <c r="C27" s="9" t="s">
        <v>61</v>
      </c>
      <c r="D27" s="9"/>
      <c r="E27" s="9"/>
      <c r="F27" s="9"/>
    </row>
    <row r="28" customFormat="false" ht="15" hidden="false" customHeight="true" outlineLevel="0" collapsed="false">
      <c r="A28" s="14" t="s">
        <v>62</v>
      </c>
      <c r="B28" s="8" t="s">
        <v>63</v>
      </c>
      <c r="C28" s="9" t="s">
        <v>64</v>
      </c>
      <c r="D28" s="9"/>
      <c r="E28" s="9"/>
      <c r="F28" s="9"/>
    </row>
    <row r="29" customFormat="false" ht="15" hidden="false" customHeight="true" outlineLevel="0" collapsed="false">
      <c r="A29" s="15" t="s">
        <v>65</v>
      </c>
      <c r="B29" s="9" t="s">
        <v>66</v>
      </c>
      <c r="C29" s="9" t="s">
        <v>67</v>
      </c>
      <c r="D29" s="9"/>
      <c r="E29" s="9"/>
      <c r="F29" s="9"/>
    </row>
    <row r="32" customFormat="false" ht="14.9" hidden="false" customHeight="false" outlineLevel="0" collapsed="false">
      <c r="A32" s="3" t="s">
        <v>68</v>
      </c>
      <c r="B32" s="3"/>
      <c r="C32" s="3"/>
      <c r="D32" s="3"/>
      <c r="E32" s="3"/>
      <c r="F32" s="3"/>
    </row>
    <row r="33" customFormat="false" ht="15" hidden="false" customHeight="true" outlineLevel="0" collapsed="false">
      <c r="A33" s="16" t="s">
        <v>69</v>
      </c>
      <c r="B33" s="16"/>
      <c r="C33" s="16"/>
      <c r="D33" s="16"/>
      <c r="E33" s="16"/>
      <c r="F33" s="16"/>
    </row>
    <row r="34" customFormat="false" ht="15" hidden="false" customHeight="true" outlineLevel="0" collapsed="false">
      <c r="A34" s="16" t="s">
        <v>70</v>
      </c>
      <c r="B34" s="16"/>
      <c r="C34" s="16"/>
      <c r="D34" s="16"/>
      <c r="E34" s="16"/>
      <c r="F34" s="16"/>
    </row>
    <row r="35" customFormat="false" ht="15" hidden="false" customHeight="true" outlineLevel="0" collapsed="false">
      <c r="A35" s="16" t="s">
        <v>71</v>
      </c>
      <c r="B35" s="16"/>
      <c r="C35" s="16"/>
      <c r="D35" s="16"/>
      <c r="E35" s="16"/>
      <c r="F35" s="16"/>
    </row>
    <row r="36" customFormat="false" ht="15" hidden="false" customHeight="true" outlineLevel="0" collapsed="false">
      <c r="A36" s="16" t="s">
        <v>72</v>
      </c>
      <c r="B36" s="16"/>
      <c r="C36" s="16"/>
      <c r="D36" s="16"/>
      <c r="E36" s="16"/>
      <c r="F36" s="16"/>
    </row>
    <row r="37" customFormat="false" ht="15" hidden="false" customHeight="true" outlineLevel="0" collapsed="false">
      <c r="A37" s="16" t="s">
        <v>73</v>
      </c>
      <c r="B37" s="16"/>
      <c r="C37" s="16"/>
      <c r="D37" s="16"/>
      <c r="E37" s="16"/>
      <c r="F37" s="16"/>
    </row>
    <row r="39" customFormat="false" ht="14.9" hidden="false" customHeight="false" outlineLevel="0" collapsed="false">
      <c r="A39" s="3" t="s">
        <v>74</v>
      </c>
      <c r="B39" s="3"/>
      <c r="C39" s="3"/>
      <c r="D39" s="3"/>
      <c r="E39" s="3"/>
      <c r="F39" s="3"/>
    </row>
    <row r="40" customFormat="false" ht="15" hidden="false" customHeight="false" outlineLevel="0" collapsed="false">
      <c r="A40" s="7" t="s">
        <v>75</v>
      </c>
      <c r="B40" s="7" t="s">
        <v>76</v>
      </c>
      <c r="C40" s="7" t="s">
        <v>77</v>
      </c>
      <c r="D40" s="6"/>
      <c r="E40" s="6"/>
      <c r="F40" s="6"/>
    </row>
    <row r="41" customFormat="false" ht="15" hidden="false" customHeight="true" outlineLevel="0" collapsed="false">
      <c r="A41" s="17" t="s">
        <v>78</v>
      </c>
      <c r="B41" s="8" t="s">
        <v>79</v>
      </c>
      <c r="C41" s="9" t="s">
        <v>80</v>
      </c>
      <c r="D41" s="9"/>
      <c r="E41" s="9"/>
      <c r="F41" s="9"/>
    </row>
    <row r="42" customFormat="false" ht="15" hidden="false" customHeight="true" outlineLevel="0" collapsed="false">
      <c r="A42" s="17" t="s">
        <v>81</v>
      </c>
      <c r="B42" s="8" t="s">
        <v>82</v>
      </c>
      <c r="C42" s="9" t="s">
        <v>83</v>
      </c>
      <c r="D42" s="9"/>
      <c r="E42" s="9"/>
      <c r="F42" s="9"/>
    </row>
    <row r="43" customFormat="false" ht="15" hidden="false" customHeight="true" outlineLevel="0" collapsed="false">
      <c r="A43" s="17" t="s">
        <v>84</v>
      </c>
      <c r="B43" s="9" t="s">
        <v>85</v>
      </c>
      <c r="C43" s="9" t="s">
        <v>86</v>
      </c>
      <c r="D43" s="9"/>
      <c r="E43" s="9"/>
      <c r="F43" s="9"/>
    </row>
    <row r="44" customFormat="false" ht="15" hidden="false" customHeight="true" outlineLevel="0" collapsed="false">
      <c r="A44" s="17" t="s">
        <v>87</v>
      </c>
      <c r="B44" s="9" t="s">
        <v>88</v>
      </c>
      <c r="C44" s="9" t="s">
        <v>89</v>
      </c>
      <c r="D44" s="9"/>
      <c r="E44" s="9"/>
      <c r="F44" s="9"/>
    </row>
    <row r="45" customFormat="false" ht="15" hidden="false" customHeight="true" outlineLevel="0" collapsed="false">
      <c r="A45" s="17" t="s">
        <v>90</v>
      </c>
      <c r="B45" s="9" t="s">
        <v>91</v>
      </c>
      <c r="C45" s="9" t="s">
        <v>92</v>
      </c>
      <c r="D45" s="9"/>
      <c r="E45" s="9"/>
      <c r="F45" s="9"/>
    </row>
    <row r="46" customFormat="false" ht="15" hidden="false" customHeight="true" outlineLevel="0" collapsed="false">
      <c r="A46" s="17" t="s">
        <v>93</v>
      </c>
      <c r="B46" s="9" t="s">
        <v>94</v>
      </c>
      <c r="C46" s="9" t="s">
        <v>95</v>
      </c>
      <c r="D46" s="9"/>
      <c r="E46" s="9"/>
      <c r="F46" s="9"/>
    </row>
  </sheetData>
  <mergeCells count="24">
    <mergeCell ref="A1:F1"/>
    <mergeCell ref="A2:F2"/>
    <mergeCell ref="A4:F4"/>
    <mergeCell ref="A5:F5"/>
    <mergeCell ref="A7:F7"/>
    <mergeCell ref="A8:F8"/>
    <mergeCell ref="A23:F23"/>
    <mergeCell ref="A25:F25"/>
    <mergeCell ref="C27:F27"/>
    <mergeCell ref="C28:F28"/>
    <mergeCell ref="C29:F29"/>
    <mergeCell ref="A32:F32"/>
    <mergeCell ref="A33:F33"/>
    <mergeCell ref="A34:F34"/>
    <mergeCell ref="A35:F35"/>
    <mergeCell ref="A36:F36"/>
    <mergeCell ref="A37:F37"/>
    <mergeCell ref="A39:F39"/>
    <mergeCell ref="C41:F41"/>
    <mergeCell ref="C42:F42"/>
    <mergeCell ref="C43:F43"/>
    <mergeCell ref="C44:F44"/>
    <mergeCell ref="C45:F45"/>
    <mergeCell ref="C46:F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6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2"/>
    <col collapsed="false" customWidth="true" hidden="false" outlineLevel="0" max="7" min="7" style="0" width="42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24" hidden="false" customHeight="true" outlineLevel="0" collapsed="false">
      <c r="A1" s="18" t="s">
        <v>96</v>
      </c>
      <c r="B1" s="18"/>
      <c r="C1" s="18"/>
      <c r="D1" s="18"/>
      <c r="E1" s="18"/>
      <c r="F1" s="18"/>
      <c r="G1" s="18"/>
      <c r="H1" s="18"/>
      <c r="I1" s="18"/>
    </row>
    <row r="2" customFormat="false" ht="11.9" hidden="false" customHeight="false" outlineLevel="0" collapsed="false">
      <c r="A2" s="2" t="s">
        <v>97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6" t="s">
        <v>6</v>
      </c>
      <c r="B4" s="7" t="s">
        <v>98</v>
      </c>
      <c r="C4" s="7" t="s">
        <v>99</v>
      </c>
      <c r="D4" s="7" t="s">
        <v>100</v>
      </c>
      <c r="E4" s="7" t="s">
        <v>101</v>
      </c>
      <c r="F4" s="6" t="s">
        <v>102</v>
      </c>
      <c r="G4" s="7" t="s">
        <v>103</v>
      </c>
      <c r="H4" s="7" t="s">
        <v>104</v>
      </c>
      <c r="I4" s="7" t="s">
        <v>105</v>
      </c>
    </row>
    <row r="5" customFormat="false" ht="15" hidden="false" customHeight="false" outlineLevel="0" collapsed="false">
      <c r="A5" s="10" t="n">
        <v>1</v>
      </c>
      <c r="B5" s="10" t="s">
        <v>106</v>
      </c>
      <c r="C5" s="10" t="s">
        <v>46</v>
      </c>
      <c r="D5" s="19" t="s">
        <v>107</v>
      </c>
      <c r="E5" s="20" t="s">
        <v>108</v>
      </c>
      <c r="F5" s="21" t="s">
        <v>109</v>
      </c>
      <c r="G5" s="20" t="s">
        <v>110</v>
      </c>
      <c r="H5" s="19" t="s">
        <v>111</v>
      </c>
      <c r="I5" s="20" t="s">
        <v>112</v>
      </c>
    </row>
    <row r="6" customFormat="false" ht="15" hidden="false" customHeight="false" outlineLevel="0" collapsed="false">
      <c r="A6" s="22" t="n">
        <v>2</v>
      </c>
      <c r="B6" s="22" t="s">
        <v>106</v>
      </c>
      <c r="C6" s="22" t="s">
        <v>46</v>
      </c>
      <c r="D6" s="23" t="s">
        <v>113</v>
      </c>
      <c r="E6" s="24" t="s">
        <v>114</v>
      </c>
      <c r="F6" s="25" t="s">
        <v>115</v>
      </c>
      <c r="G6" s="24" t="s">
        <v>116</v>
      </c>
      <c r="H6" s="23" t="s">
        <v>111</v>
      </c>
      <c r="I6" s="24" t="s">
        <v>112</v>
      </c>
    </row>
    <row r="7" customFormat="false" ht="15" hidden="false" customHeight="false" outlineLevel="0" collapsed="false">
      <c r="A7" s="10" t="n">
        <v>3</v>
      </c>
      <c r="B7" s="10" t="s">
        <v>106</v>
      </c>
      <c r="C7" s="10" t="s">
        <v>46</v>
      </c>
      <c r="D7" s="19" t="s">
        <v>117</v>
      </c>
      <c r="E7" s="20" t="s">
        <v>118</v>
      </c>
      <c r="F7" s="21" t="s">
        <v>119</v>
      </c>
      <c r="G7" s="20" t="s">
        <v>120</v>
      </c>
      <c r="H7" s="19" t="s">
        <v>121</v>
      </c>
      <c r="I7" s="19" t="s">
        <v>122</v>
      </c>
    </row>
    <row r="8" customFormat="false" ht="15" hidden="false" customHeight="false" outlineLevel="0" collapsed="false">
      <c r="A8" s="22" t="n">
        <v>4</v>
      </c>
      <c r="B8" s="22" t="s">
        <v>106</v>
      </c>
      <c r="C8" s="22" t="s">
        <v>46</v>
      </c>
      <c r="D8" s="23" t="s">
        <v>123</v>
      </c>
      <c r="E8" s="24" t="s">
        <v>124</v>
      </c>
      <c r="F8" s="25" t="s">
        <v>125</v>
      </c>
      <c r="G8" s="23" t="s">
        <v>126</v>
      </c>
      <c r="H8" s="23" t="s">
        <v>127</v>
      </c>
      <c r="I8" s="23" t="s">
        <v>128</v>
      </c>
    </row>
    <row r="9" customFormat="false" ht="15" hidden="false" customHeight="false" outlineLevel="0" collapsed="false">
      <c r="A9" s="10" t="n">
        <v>5</v>
      </c>
      <c r="B9" s="10" t="s">
        <v>106</v>
      </c>
      <c r="C9" s="10" t="s">
        <v>46</v>
      </c>
      <c r="D9" s="19" t="s">
        <v>129</v>
      </c>
      <c r="E9" s="20" t="s">
        <v>130</v>
      </c>
      <c r="F9" s="21" t="s">
        <v>131</v>
      </c>
      <c r="G9" s="20" t="s">
        <v>132</v>
      </c>
      <c r="H9" s="19" t="s">
        <v>133</v>
      </c>
      <c r="I9" s="20" t="s">
        <v>134</v>
      </c>
    </row>
    <row r="10" customFormat="false" ht="15" hidden="false" customHeight="false" outlineLevel="0" collapsed="false">
      <c r="A10" s="22" t="n">
        <v>6</v>
      </c>
      <c r="B10" s="22" t="s">
        <v>106</v>
      </c>
      <c r="C10" s="22" t="s">
        <v>46</v>
      </c>
      <c r="D10" s="23" t="s">
        <v>135</v>
      </c>
      <c r="E10" s="24" t="s">
        <v>136</v>
      </c>
      <c r="F10" s="25" t="s">
        <v>137</v>
      </c>
      <c r="G10" s="24" t="s">
        <v>138</v>
      </c>
      <c r="H10" s="23" t="s">
        <v>139</v>
      </c>
      <c r="I10" s="23" t="s">
        <v>140</v>
      </c>
    </row>
    <row r="11" customFormat="false" ht="15" hidden="false" customHeight="false" outlineLevel="0" collapsed="false">
      <c r="A11" s="10" t="n">
        <v>7</v>
      </c>
      <c r="B11" s="10" t="s">
        <v>106</v>
      </c>
      <c r="C11" s="10" t="s">
        <v>46</v>
      </c>
      <c r="D11" s="19" t="s">
        <v>141</v>
      </c>
      <c r="E11" s="20" t="s">
        <v>142</v>
      </c>
      <c r="F11" s="21" t="s">
        <v>143</v>
      </c>
      <c r="G11" s="20" t="s">
        <v>144</v>
      </c>
      <c r="H11" s="19" t="s">
        <v>145</v>
      </c>
      <c r="I11" s="20" t="s">
        <v>112</v>
      </c>
    </row>
    <row r="12" customFormat="false" ht="15" hidden="false" customHeight="false" outlineLevel="0" collapsed="false">
      <c r="A12" s="22" t="n">
        <v>8</v>
      </c>
      <c r="B12" s="22" t="s">
        <v>106</v>
      </c>
      <c r="C12" s="22" t="s">
        <v>46</v>
      </c>
      <c r="D12" s="23" t="s">
        <v>146</v>
      </c>
      <c r="E12" s="24" t="s">
        <v>147</v>
      </c>
      <c r="F12" s="25" t="s">
        <v>148</v>
      </c>
      <c r="G12" s="24" t="s">
        <v>149</v>
      </c>
      <c r="H12" s="23" t="s">
        <v>150</v>
      </c>
      <c r="I12" s="24" t="s">
        <v>151</v>
      </c>
    </row>
    <row r="13" customFormat="false" ht="15" hidden="false" customHeight="false" outlineLevel="0" collapsed="false">
      <c r="A13" s="10" t="n">
        <v>9</v>
      </c>
      <c r="B13" s="10" t="s">
        <v>152</v>
      </c>
      <c r="C13" s="10" t="s">
        <v>49</v>
      </c>
      <c r="D13" s="19" t="s">
        <v>153</v>
      </c>
      <c r="E13" s="20" t="s">
        <v>154</v>
      </c>
      <c r="F13" s="21" t="s">
        <v>155</v>
      </c>
      <c r="G13" s="20" t="s">
        <v>156</v>
      </c>
      <c r="H13" s="19" t="s">
        <v>145</v>
      </c>
      <c r="I13" s="20" t="s">
        <v>112</v>
      </c>
    </row>
    <row r="14" customFormat="false" ht="15" hidden="false" customHeight="false" outlineLevel="0" collapsed="false">
      <c r="A14" s="22" t="n">
        <v>10</v>
      </c>
      <c r="B14" s="22" t="s">
        <v>152</v>
      </c>
      <c r="C14" s="22" t="s">
        <v>49</v>
      </c>
      <c r="D14" s="24" t="s">
        <v>157</v>
      </c>
      <c r="E14" s="24" t="s">
        <v>158</v>
      </c>
      <c r="F14" s="25" t="s">
        <v>159</v>
      </c>
      <c r="G14" s="24" t="s">
        <v>160</v>
      </c>
      <c r="H14" s="23" t="s">
        <v>145</v>
      </c>
      <c r="I14" s="24" t="s">
        <v>112</v>
      </c>
    </row>
    <row r="15" customFormat="false" ht="15" hidden="false" customHeight="false" outlineLevel="0" collapsed="false">
      <c r="A15" s="10" t="n">
        <v>11</v>
      </c>
      <c r="B15" s="10" t="s">
        <v>152</v>
      </c>
      <c r="C15" s="10" t="s">
        <v>49</v>
      </c>
      <c r="D15" s="19" t="s">
        <v>161</v>
      </c>
      <c r="E15" s="20" t="s">
        <v>162</v>
      </c>
      <c r="F15" s="21" t="s">
        <v>163</v>
      </c>
      <c r="G15" s="20" t="s">
        <v>164</v>
      </c>
      <c r="H15" s="19" t="s">
        <v>145</v>
      </c>
      <c r="I15" s="20" t="s">
        <v>112</v>
      </c>
    </row>
    <row r="16" customFormat="false" ht="15" hidden="false" customHeight="false" outlineLevel="0" collapsed="false">
      <c r="A16" s="22" t="n">
        <v>12</v>
      </c>
      <c r="B16" s="22" t="s">
        <v>152</v>
      </c>
      <c r="C16" s="22" t="s">
        <v>49</v>
      </c>
      <c r="D16" s="23" t="s">
        <v>165</v>
      </c>
      <c r="E16" s="24" t="s">
        <v>166</v>
      </c>
      <c r="F16" s="25" t="s">
        <v>167</v>
      </c>
      <c r="G16" s="24" t="s">
        <v>168</v>
      </c>
      <c r="H16" s="23" t="s">
        <v>145</v>
      </c>
      <c r="I16" s="24" t="s">
        <v>112</v>
      </c>
    </row>
    <row r="17" customFormat="false" ht="15" hidden="false" customHeight="false" outlineLevel="0" collapsed="false">
      <c r="A17" s="10" t="n">
        <v>13</v>
      </c>
      <c r="B17" s="10" t="s">
        <v>152</v>
      </c>
      <c r="C17" s="10" t="s">
        <v>49</v>
      </c>
      <c r="D17" s="19" t="s">
        <v>169</v>
      </c>
      <c r="E17" s="20" t="s">
        <v>170</v>
      </c>
      <c r="F17" s="21" t="s">
        <v>171</v>
      </c>
      <c r="G17" s="20" t="s">
        <v>172</v>
      </c>
      <c r="H17" s="19" t="s">
        <v>145</v>
      </c>
      <c r="I17" s="20" t="s">
        <v>112</v>
      </c>
    </row>
    <row r="18" customFormat="false" ht="15" hidden="false" customHeight="false" outlineLevel="0" collapsed="false">
      <c r="A18" s="22" t="n">
        <v>14</v>
      </c>
      <c r="B18" s="22" t="s">
        <v>152</v>
      </c>
      <c r="C18" s="22" t="s">
        <v>49</v>
      </c>
      <c r="D18" s="24" t="s">
        <v>173</v>
      </c>
      <c r="E18" s="24" t="s">
        <v>174</v>
      </c>
      <c r="F18" s="25" t="s">
        <v>175</v>
      </c>
      <c r="G18" s="24" t="s">
        <v>176</v>
      </c>
      <c r="H18" s="23" t="s">
        <v>145</v>
      </c>
      <c r="I18" s="24" t="s">
        <v>112</v>
      </c>
    </row>
    <row r="19" customFormat="false" ht="15" hidden="false" customHeight="false" outlineLevel="0" collapsed="false">
      <c r="A19" s="10" t="n">
        <v>15</v>
      </c>
      <c r="B19" s="10" t="s">
        <v>152</v>
      </c>
      <c r="C19" s="10" t="s">
        <v>52</v>
      </c>
      <c r="D19" s="19" t="s">
        <v>177</v>
      </c>
      <c r="E19" s="20" t="s">
        <v>178</v>
      </c>
      <c r="F19" s="21" t="s">
        <v>179</v>
      </c>
      <c r="G19" s="20" t="s">
        <v>180</v>
      </c>
      <c r="H19" s="19" t="s">
        <v>181</v>
      </c>
      <c r="I19" s="20" t="s">
        <v>182</v>
      </c>
    </row>
    <row r="20" customFormat="false" ht="15" hidden="false" customHeight="false" outlineLevel="0" collapsed="false">
      <c r="A20" s="22" t="n">
        <v>16</v>
      </c>
      <c r="B20" s="22" t="s">
        <v>183</v>
      </c>
      <c r="C20" s="22" t="s">
        <v>52</v>
      </c>
      <c r="D20" s="23" t="s">
        <v>184</v>
      </c>
      <c r="E20" s="24" t="s">
        <v>185</v>
      </c>
      <c r="F20" s="25" t="s">
        <v>186</v>
      </c>
      <c r="G20" s="24" t="s">
        <v>187</v>
      </c>
      <c r="H20" s="23" t="s">
        <v>145</v>
      </c>
      <c r="I20" s="24" t="s">
        <v>112</v>
      </c>
    </row>
    <row r="21" customFormat="false" ht="15" hidden="false" customHeight="false" outlineLevel="0" collapsed="false">
      <c r="A21" s="10" t="n">
        <v>17</v>
      </c>
      <c r="B21" s="10" t="s">
        <v>183</v>
      </c>
      <c r="C21" s="10" t="s">
        <v>52</v>
      </c>
      <c r="D21" s="19" t="s">
        <v>188</v>
      </c>
      <c r="E21" s="20" t="s">
        <v>189</v>
      </c>
      <c r="F21" s="21" t="s">
        <v>190</v>
      </c>
      <c r="G21" s="20" t="s">
        <v>191</v>
      </c>
      <c r="H21" s="19" t="s">
        <v>145</v>
      </c>
      <c r="I21" s="20" t="s">
        <v>112</v>
      </c>
    </row>
    <row r="22" customFormat="false" ht="15" hidden="false" customHeight="false" outlineLevel="0" collapsed="false">
      <c r="A22" s="22" t="n">
        <v>18</v>
      </c>
      <c r="B22" s="22" t="s">
        <v>183</v>
      </c>
      <c r="C22" s="22" t="s">
        <v>52</v>
      </c>
      <c r="D22" s="23" t="s">
        <v>192</v>
      </c>
      <c r="E22" s="24" t="s">
        <v>193</v>
      </c>
      <c r="F22" s="25" t="s">
        <v>194</v>
      </c>
      <c r="G22" s="24" t="s">
        <v>195</v>
      </c>
      <c r="H22" s="23" t="s">
        <v>145</v>
      </c>
      <c r="I22" s="24" t="s">
        <v>112</v>
      </c>
    </row>
  </sheetData>
  <mergeCells count="2">
    <mergeCell ref="A1:I1"/>
    <mergeCell ref="A2:I2"/>
  </mergeCells>
  <hyperlinks>
    <hyperlink ref="F5" r:id="rId1" display="https://www.kiwoomasset.com"/>
    <hyperlink ref="F6" r:id="rId2" display="https://www.metarich.co.kr"/>
    <hyperlink ref="F7" r:id="rId3" display="https://goodrich.co.kr"/>
    <hyperlink ref="F8" r:id="rId4" display="https://e-insmarket.or.kr"/>
    <hyperlink ref="F9" r:id="rId5" display="https://cont.credit4u.or.kr"/>
    <hyperlink ref="F10" r:id="rId6" display="https://bomapp.co.kr"/>
    <hyperlink ref="F11" r:id="rId7" display="https://www.insuplus.co.kr"/>
    <hyperlink ref="F12" r:id="rId8" display="https://toss.im/insurance"/>
    <hyperlink ref="F13" r:id="rId9" display="https://direct.samsungfire.com"/>
    <hyperlink ref="F14" r:id="rId10" display="https://www.idbins.com"/>
    <hyperlink ref="F15" r:id="rId11" display="https://direct.hi.co.kr"/>
    <hyperlink ref="F16" r:id="rId12" display="https://direct.meritzfire.com"/>
    <hyperlink ref="F17" r:id="rId13" display="https://www.carrotins.com"/>
    <hyperlink ref="F18" r:id="rId14" display="https://direct.kbinsure.co.kr"/>
    <hyperlink ref="F19" r:id="rId15" display="https://direct.lina.co.kr"/>
    <hyperlink ref="F20" r:id="rId16" display="https://toss.im"/>
    <hyperlink ref="F21" r:id="rId17" display="https://www.kakaopay.com"/>
    <hyperlink ref="F22" r:id="rId18" display="https://banksalad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6" min="6" style="0" width="18"/>
  </cols>
  <sheetData>
    <row r="1" customFormat="false" ht="24" hidden="false" customHeight="true" outlineLevel="0" collapsed="false">
      <c r="A1" s="18" t="s">
        <v>196</v>
      </c>
      <c r="B1" s="18"/>
      <c r="C1" s="18"/>
      <c r="D1" s="18"/>
      <c r="E1" s="18"/>
      <c r="F1" s="18"/>
    </row>
    <row r="2" customFormat="false" ht="11.9" hidden="false" customHeight="false" outlineLevel="0" collapsed="false">
      <c r="A2" s="26" t="s">
        <v>197</v>
      </c>
      <c r="B2" s="26"/>
      <c r="C2" s="26"/>
      <c r="D2" s="26"/>
      <c r="E2" s="26"/>
      <c r="F2" s="26"/>
    </row>
    <row r="4" customFormat="false" ht="15" hidden="false" customHeight="false" outlineLevel="0" collapsed="false">
      <c r="A4" s="6" t="s">
        <v>198</v>
      </c>
      <c r="B4" s="7" t="s">
        <v>199</v>
      </c>
      <c r="C4" s="7" t="s">
        <v>200</v>
      </c>
      <c r="D4" s="7" t="s">
        <v>201</v>
      </c>
      <c r="E4" s="7" t="s">
        <v>202</v>
      </c>
      <c r="F4" s="7" t="s">
        <v>203</v>
      </c>
    </row>
    <row r="5" customFormat="false" ht="15" hidden="false" customHeight="false" outlineLevel="0" collapsed="false">
      <c r="A5" s="10" t="n">
        <v>1</v>
      </c>
      <c r="B5" s="20" t="s">
        <v>204</v>
      </c>
      <c r="C5" s="20" t="s">
        <v>205</v>
      </c>
      <c r="D5" s="10" t="s">
        <v>206</v>
      </c>
      <c r="E5" s="20" t="s">
        <v>207</v>
      </c>
      <c r="F5" s="19" t="s">
        <v>208</v>
      </c>
    </row>
    <row r="6" customFormat="false" ht="15" hidden="false" customHeight="false" outlineLevel="0" collapsed="false">
      <c r="A6" s="22" t="n">
        <v>2</v>
      </c>
      <c r="B6" s="24" t="s">
        <v>209</v>
      </c>
      <c r="C6" s="24" t="s">
        <v>210</v>
      </c>
      <c r="D6" s="22" t="s">
        <v>211</v>
      </c>
      <c r="E6" s="24" t="s">
        <v>212</v>
      </c>
      <c r="F6" s="23" t="s">
        <v>213</v>
      </c>
    </row>
    <row r="7" customFormat="false" ht="15" hidden="false" customHeight="false" outlineLevel="0" collapsed="false">
      <c r="A7" s="10" t="n">
        <v>3</v>
      </c>
      <c r="B7" s="19" t="s">
        <v>214</v>
      </c>
      <c r="C7" s="20" t="s">
        <v>215</v>
      </c>
      <c r="D7" s="10" t="s">
        <v>216</v>
      </c>
      <c r="E7" s="20" t="s">
        <v>217</v>
      </c>
      <c r="F7" s="27" t="s">
        <v>218</v>
      </c>
    </row>
    <row r="8" customFormat="false" ht="15" hidden="false" customHeight="false" outlineLevel="0" collapsed="false">
      <c r="A8" s="22" t="n">
        <v>4</v>
      </c>
      <c r="B8" s="23" t="s">
        <v>219</v>
      </c>
      <c r="C8" s="24" t="s">
        <v>220</v>
      </c>
      <c r="D8" s="22" t="s">
        <v>221</v>
      </c>
      <c r="E8" s="24" t="s">
        <v>222</v>
      </c>
      <c r="F8" s="23" t="s">
        <v>213</v>
      </c>
    </row>
    <row r="9" customFormat="false" ht="15" hidden="false" customHeight="false" outlineLevel="0" collapsed="false">
      <c r="A9" s="10" t="n">
        <v>5</v>
      </c>
      <c r="B9" s="20" t="s">
        <v>223</v>
      </c>
      <c r="C9" s="20" t="s">
        <v>224</v>
      </c>
      <c r="D9" s="10" t="s">
        <v>206</v>
      </c>
      <c r="E9" s="20" t="s">
        <v>225</v>
      </c>
      <c r="F9" s="19" t="s">
        <v>213</v>
      </c>
    </row>
    <row r="10" customFormat="false" ht="15" hidden="false" customHeight="false" outlineLevel="0" collapsed="false">
      <c r="A10" s="22" t="n">
        <v>6</v>
      </c>
      <c r="B10" s="23" t="s">
        <v>226</v>
      </c>
      <c r="C10" s="24" t="s">
        <v>227</v>
      </c>
      <c r="D10" s="22" t="s">
        <v>206</v>
      </c>
      <c r="E10" s="24" t="s">
        <v>228</v>
      </c>
      <c r="F10" s="23" t="s">
        <v>213</v>
      </c>
    </row>
    <row r="11" customFormat="false" ht="15" hidden="false" customHeight="false" outlineLevel="0" collapsed="false">
      <c r="A11" s="10" t="n">
        <v>7</v>
      </c>
      <c r="B11" s="19" t="s">
        <v>229</v>
      </c>
      <c r="C11" s="20" t="s">
        <v>230</v>
      </c>
      <c r="D11" s="10" t="s">
        <v>206</v>
      </c>
      <c r="E11" s="20" t="s">
        <v>231</v>
      </c>
      <c r="F11" s="19" t="s">
        <v>208</v>
      </c>
    </row>
    <row r="12" customFormat="false" ht="15" hidden="false" customHeight="false" outlineLevel="0" collapsed="false">
      <c r="A12" s="22" t="n">
        <v>8</v>
      </c>
      <c r="B12" s="23" t="s">
        <v>232</v>
      </c>
      <c r="C12" s="24" t="s">
        <v>233</v>
      </c>
      <c r="D12" s="22" t="s">
        <v>206</v>
      </c>
      <c r="E12" s="24" t="s">
        <v>234</v>
      </c>
      <c r="F12" s="23" t="s">
        <v>208</v>
      </c>
    </row>
    <row r="13" customFormat="false" ht="15" hidden="false" customHeight="false" outlineLevel="0" collapsed="false">
      <c r="A13" s="10" t="n">
        <v>9</v>
      </c>
      <c r="B13" s="19" t="s">
        <v>235</v>
      </c>
      <c r="C13" s="20" t="s">
        <v>236</v>
      </c>
      <c r="D13" s="10" t="s">
        <v>237</v>
      </c>
      <c r="E13" s="20" t="s">
        <v>238</v>
      </c>
      <c r="F13" s="19" t="s">
        <v>239</v>
      </c>
    </row>
    <row r="14" customFormat="false" ht="15" hidden="false" customHeight="false" outlineLevel="0" collapsed="false">
      <c r="A14" s="22" t="n">
        <v>10</v>
      </c>
      <c r="B14" s="23" t="s">
        <v>240</v>
      </c>
      <c r="C14" s="24" t="s">
        <v>241</v>
      </c>
      <c r="D14" s="22" t="s">
        <v>221</v>
      </c>
      <c r="E14" s="24" t="s">
        <v>242</v>
      </c>
      <c r="F14" s="23" t="s">
        <v>213</v>
      </c>
    </row>
    <row r="15" customFormat="false" ht="15" hidden="false" customHeight="false" outlineLevel="0" collapsed="false">
      <c r="A15" s="10" t="n">
        <v>11</v>
      </c>
      <c r="B15" s="19" t="s">
        <v>243</v>
      </c>
      <c r="C15" s="20" t="s">
        <v>244</v>
      </c>
      <c r="D15" s="10" t="s">
        <v>221</v>
      </c>
      <c r="E15" s="20" t="s">
        <v>245</v>
      </c>
      <c r="F15" s="19" t="s">
        <v>246</v>
      </c>
    </row>
    <row r="16" customFormat="false" ht="15" hidden="false" customHeight="false" outlineLevel="0" collapsed="false">
      <c r="A16" s="22" t="n">
        <v>12</v>
      </c>
      <c r="B16" s="23" t="s">
        <v>247</v>
      </c>
      <c r="C16" s="24" t="s">
        <v>248</v>
      </c>
      <c r="D16" s="22" t="s">
        <v>237</v>
      </c>
      <c r="E16" s="24" t="s">
        <v>249</v>
      </c>
      <c r="F16" s="23" t="s">
        <v>208</v>
      </c>
    </row>
    <row r="17" customFormat="false" ht="15" hidden="false" customHeight="false" outlineLevel="0" collapsed="false">
      <c r="A17" s="10" t="n">
        <v>13</v>
      </c>
      <c r="B17" s="20" t="s">
        <v>250</v>
      </c>
      <c r="C17" s="20" t="s">
        <v>251</v>
      </c>
      <c r="D17" s="10" t="s">
        <v>221</v>
      </c>
      <c r="E17" s="20" t="s">
        <v>252</v>
      </c>
      <c r="F17" s="19" t="s">
        <v>208</v>
      </c>
    </row>
    <row r="18" customFormat="false" ht="15" hidden="false" customHeight="false" outlineLevel="0" collapsed="false">
      <c r="A18" s="22" t="n">
        <v>14</v>
      </c>
      <c r="B18" s="23" t="s">
        <v>253</v>
      </c>
      <c r="C18" s="24" t="s">
        <v>254</v>
      </c>
      <c r="D18" s="22" t="s">
        <v>237</v>
      </c>
      <c r="E18" s="24" t="s">
        <v>255</v>
      </c>
      <c r="F18" s="23" t="s">
        <v>208</v>
      </c>
    </row>
    <row r="19" customFormat="false" ht="15" hidden="false" customHeight="false" outlineLevel="0" collapsed="false">
      <c r="A19" s="10" t="n">
        <v>15</v>
      </c>
      <c r="B19" s="19" t="s">
        <v>256</v>
      </c>
      <c r="C19" s="20" t="s">
        <v>257</v>
      </c>
      <c r="D19" s="10" t="s">
        <v>221</v>
      </c>
      <c r="E19" s="20" t="s">
        <v>258</v>
      </c>
      <c r="F19" s="19" t="s">
        <v>259</v>
      </c>
    </row>
    <row r="20" customFormat="false" ht="15" hidden="false" customHeight="false" outlineLevel="0" collapsed="false">
      <c r="A20" s="22" t="n">
        <v>16</v>
      </c>
      <c r="B20" s="24" t="s">
        <v>260</v>
      </c>
      <c r="C20" s="24" t="s">
        <v>261</v>
      </c>
      <c r="D20" s="22" t="s">
        <v>206</v>
      </c>
      <c r="E20" s="24" t="s">
        <v>262</v>
      </c>
      <c r="F20" s="28" t="s">
        <v>263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52"/>
  </cols>
  <sheetData>
    <row r="1" customFormat="false" ht="24" hidden="false" customHeight="true" outlineLevel="0" collapsed="false">
      <c r="A1" s="18" t="s">
        <v>264</v>
      </c>
      <c r="B1" s="18"/>
      <c r="C1" s="18"/>
    </row>
    <row r="2" customFormat="false" ht="11.9" hidden="false" customHeight="false" outlineLevel="0" collapsed="false">
      <c r="A2" s="2" t="s">
        <v>265</v>
      </c>
      <c r="B2" s="2"/>
      <c r="C2" s="2"/>
    </row>
    <row r="4" customFormat="false" ht="15" hidden="false" customHeight="false" outlineLevel="0" collapsed="false">
      <c r="A4" s="7" t="s">
        <v>266</v>
      </c>
      <c r="B4" s="7" t="s">
        <v>267</v>
      </c>
      <c r="C4" s="7" t="s">
        <v>268</v>
      </c>
    </row>
    <row r="5" customFormat="false" ht="15" hidden="false" customHeight="false" outlineLevel="0" collapsed="false">
      <c r="A5" s="20" t="s">
        <v>269</v>
      </c>
      <c r="B5" s="29" t="s">
        <v>270</v>
      </c>
      <c r="C5" s="20" t="s">
        <v>271</v>
      </c>
    </row>
    <row r="6" customFormat="false" ht="15" hidden="false" customHeight="false" outlineLevel="0" collapsed="false">
      <c r="A6" s="24" t="s">
        <v>269</v>
      </c>
      <c r="B6" s="30" t="s">
        <v>272</v>
      </c>
      <c r="C6" s="24" t="s">
        <v>273</v>
      </c>
    </row>
    <row r="7" customFormat="false" ht="15" hidden="false" customHeight="false" outlineLevel="0" collapsed="false">
      <c r="A7" s="20" t="s">
        <v>269</v>
      </c>
      <c r="B7" s="29" t="s">
        <v>274</v>
      </c>
      <c r="C7" s="20" t="s">
        <v>275</v>
      </c>
    </row>
    <row r="8" customFormat="false" ht="15" hidden="false" customHeight="false" outlineLevel="0" collapsed="false">
      <c r="A8" s="24" t="s">
        <v>269</v>
      </c>
      <c r="B8" s="30" t="s">
        <v>276</v>
      </c>
      <c r="C8" s="24" t="s">
        <v>277</v>
      </c>
    </row>
    <row r="9" customFormat="false" ht="15" hidden="false" customHeight="false" outlineLevel="0" collapsed="false">
      <c r="A9" s="20" t="s">
        <v>278</v>
      </c>
      <c r="B9" s="29" t="s">
        <v>279</v>
      </c>
      <c r="C9" s="20" t="s">
        <v>280</v>
      </c>
    </row>
    <row r="10" customFormat="false" ht="15" hidden="false" customHeight="false" outlineLevel="0" collapsed="false">
      <c r="A10" s="24" t="s">
        <v>278</v>
      </c>
      <c r="B10" s="30" t="s">
        <v>281</v>
      </c>
      <c r="C10" s="24" t="s">
        <v>282</v>
      </c>
    </row>
    <row r="11" customFormat="false" ht="15" hidden="false" customHeight="false" outlineLevel="0" collapsed="false">
      <c r="A11" s="20" t="s">
        <v>278</v>
      </c>
      <c r="B11" s="29" t="s">
        <v>283</v>
      </c>
      <c r="C11" s="20" t="s">
        <v>277</v>
      </c>
    </row>
    <row r="12" customFormat="false" ht="15" hidden="false" customHeight="false" outlineLevel="0" collapsed="false">
      <c r="A12" s="24" t="s">
        <v>284</v>
      </c>
      <c r="B12" s="30" t="s">
        <v>285</v>
      </c>
      <c r="C12" s="24" t="s">
        <v>286</v>
      </c>
    </row>
    <row r="13" customFormat="false" ht="15" hidden="false" customHeight="false" outlineLevel="0" collapsed="false">
      <c r="A13" s="20" t="s">
        <v>284</v>
      </c>
      <c r="B13" s="29" t="s">
        <v>287</v>
      </c>
      <c r="C13" s="20" t="s">
        <v>288</v>
      </c>
    </row>
    <row r="14" customFormat="false" ht="15" hidden="false" customHeight="false" outlineLevel="0" collapsed="false">
      <c r="A14" s="24" t="s">
        <v>284</v>
      </c>
      <c r="B14" s="30" t="s">
        <v>289</v>
      </c>
      <c r="C14" s="24" t="s">
        <v>290</v>
      </c>
    </row>
    <row r="15" customFormat="false" ht="15" hidden="false" customHeight="false" outlineLevel="0" collapsed="false">
      <c r="A15" s="20" t="s">
        <v>291</v>
      </c>
      <c r="B15" s="29" t="s">
        <v>292</v>
      </c>
      <c r="C15" s="20" t="s">
        <v>293</v>
      </c>
    </row>
    <row r="16" customFormat="false" ht="15" hidden="false" customHeight="false" outlineLevel="0" collapsed="false">
      <c r="A16" s="24" t="s">
        <v>294</v>
      </c>
      <c r="B16" s="30" t="s">
        <v>295</v>
      </c>
      <c r="C16" s="24" t="s">
        <v>296</v>
      </c>
    </row>
    <row r="17" customFormat="false" ht="15" hidden="false" customHeight="false" outlineLevel="0" collapsed="false">
      <c r="A17" s="20" t="s">
        <v>294</v>
      </c>
      <c r="B17" s="29" t="s">
        <v>297</v>
      </c>
      <c r="C17" s="20" t="s">
        <v>298</v>
      </c>
    </row>
    <row r="18" customFormat="false" ht="15" hidden="false" customHeight="false" outlineLevel="0" collapsed="false">
      <c r="A18" s="24" t="s">
        <v>294</v>
      </c>
      <c r="B18" s="30" t="s">
        <v>299</v>
      </c>
      <c r="C18" s="24" t="s">
        <v>271</v>
      </c>
    </row>
    <row r="19" customFormat="false" ht="15" hidden="false" customHeight="false" outlineLevel="0" collapsed="false">
      <c r="A19" s="20" t="s">
        <v>300</v>
      </c>
      <c r="B19" s="29" t="s">
        <v>301</v>
      </c>
      <c r="C19" s="20" t="s">
        <v>302</v>
      </c>
    </row>
    <row r="20" customFormat="false" ht="15" hidden="false" customHeight="false" outlineLevel="0" collapsed="false">
      <c r="A20" s="24" t="s">
        <v>300</v>
      </c>
      <c r="B20" s="30" t="s">
        <v>303</v>
      </c>
      <c r="C20" s="24" t="s">
        <v>304</v>
      </c>
    </row>
    <row r="21" customFormat="false" ht="15" hidden="false" customHeight="false" outlineLevel="0" collapsed="false">
      <c r="A21" s="20" t="s">
        <v>300</v>
      </c>
      <c r="B21" s="29" t="s">
        <v>305</v>
      </c>
      <c r="C21" s="20" t="s">
        <v>306</v>
      </c>
    </row>
    <row r="22" customFormat="false" ht="15" hidden="false" customHeight="false" outlineLevel="0" collapsed="false">
      <c r="A22" s="24" t="s">
        <v>307</v>
      </c>
      <c r="B22" s="30" t="s">
        <v>279</v>
      </c>
      <c r="C22" s="24" t="s">
        <v>308</v>
      </c>
    </row>
    <row r="23" customFormat="false" ht="15" hidden="false" customHeight="false" outlineLevel="0" collapsed="false">
      <c r="A23" s="20" t="s">
        <v>307</v>
      </c>
      <c r="B23" s="29" t="s">
        <v>309</v>
      </c>
      <c r="C23" s="20" t="s">
        <v>310</v>
      </c>
    </row>
    <row r="24" customFormat="false" ht="15" hidden="false" customHeight="false" outlineLevel="0" collapsed="false">
      <c r="A24" s="24" t="s">
        <v>307</v>
      </c>
      <c r="B24" s="30" t="s">
        <v>297</v>
      </c>
      <c r="C24" s="24" t="s">
        <v>311</v>
      </c>
    </row>
    <row r="25" customFormat="false" ht="15" hidden="false" customHeight="false" outlineLevel="0" collapsed="false">
      <c r="A25" s="20" t="s">
        <v>312</v>
      </c>
      <c r="B25" s="29" t="s">
        <v>313</v>
      </c>
      <c r="C25" s="20" t="s">
        <v>314</v>
      </c>
    </row>
    <row r="26" customFormat="false" ht="15" hidden="false" customHeight="false" outlineLevel="0" collapsed="false">
      <c r="A26" s="24" t="s">
        <v>312</v>
      </c>
      <c r="B26" s="30" t="s">
        <v>315</v>
      </c>
      <c r="C26" s="24" t="s">
        <v>316</v>
      </c>
    </row>
    <row r="27" customFormat="false" ht="15" hidden="false" customHeight="false" outlineLevel="0" collapsed="false">
      <c r="A27" s="20" t="s">
        <v>312</v>
      </c>
      <c r="B27" s="29" t="s">
        <v>317</v>
      </c>
      <c r="C27" s="20" t="s">
        <v>318</v>
      </c>
    </row>
    <row r="28" customFormat="false" ht="15" hidden="false" customHeight="false" outlineLevel="0" collapsed="false">
      <c r="A28" s="24" t="s">
        <v>319</v>
      </c>
      <c r="B28" s="30" t="s">
        <v>320</v>
      </c>
      <c r="C28" s="24" t="s">
        <v>321</v>
      </c>
    </row>
    <row r="29" customFormat="false" ht="15" hidden="false" customHeight="false" outlineLevel="0" collapsed="false">
      <c r="A29" s="20" t="s">
        <v>319</v>
      </c>
      <c r="B29" s="29" t="s">
        <v>322</v>
      </c>
      <c r="C29" s="20" t="s">
        <v>323</v>
      </c>
    </row>
    <row r="30" customFormat="false" ht="15" hidden="false" customHeight="false" outlineLevel="0" collapsed="false">
      <c r="A30" s="24" t="s">
        <v>324</v>
      </c>
      <c r="B30" s="30" t="s">
        <v>325</v>
      </c>
      <c r="C30" s="24" t="s">
        <v>326</v>
      </c>
    </row>
    <row r="31" customFormat="false" ht="15" hidden="false" customHeight="false" outlineLevel="0" collapsed="false">
      <c r="A31" s="20" t="s">
        <v>324</v>
      </c>
      <c r="B31" s="29" t="s">
        <v>327</v>
      </c>
      <c r="C31" s="20" t="s">
        <v>271</v>
      </c>
    </row>
    <row r="32" customFormat="false" ht="15" hidden="false" customHeight="false" outlineLevel="0" collapsed="false">
      <c r="A32" s="24" t="s">
        <v>324</v>
      </c>
      <c r="B32" s="30" t="s">
        <v>295</v>
      </c>
      <c r="C32" s="24" t="s">
        <v>328</v>
      </c>
    </row>
    <row r="33" customFormat="false" ht="15" hidden="false" customHeight="false" outlineLevel="0" collapsed="false">
      <c r="A33" s="20" t="s">
        <v>329</v>
      </c>
      <c r="B33" s="29" t="s">
        <v>330</v>
      </c>
      <c r="C33" s="20" t="s">
        <v>331</v>
      </c>
    </row>
    <row r="34" customFormat="false" ht="15" hidden="false" customHeight="false" outlineLevel="0" collapsed="false">
      <c r="A34" s="24" t="s">
        <v>329</v>
      </c>
      <c r="B34" s="30" t="s">
        <v>332</v>
      </c>
      <c r="C34" s="24" t="s">
        <v>333</v>
      </c>
    </row>
    <row r="35" customFormat="false" ht="15" hidden="false" customHeight="false" outlineLevel="0" collapsed="false">
      <c r="A35" s="20" t="s">
        <v>334</v>
      </c>
      <c r="B35" s="29" t="s">
        <v>297</v>
      </c>
      <c r="C35" s="20" t="s">
        <v>333</v>
      </c>
    </row>
    <row r="36" customFormat="false" ht="15" hidden="false" customHeight="false" outlineLevel="0" collapsed="false">
      <c r="A36" s="24" t="s">
        <v>334</v>
      </c>
      <c r="B36" s="30" t="s">
        <v>281</v>
      </c>
      <c r="C36" s="24" t="s">
        <v>335</v>
      </c>
    </row>
    <row r="37" customFormat="false" ht="15" hidden="false" customHeight="false" outlineLevel="0" collapsed="false">
      <c r="A37" s="20" t="s">
        <v>334</v>
      </c>
      <c r="B37" s="29" t="s">
        <v>336</v>
      </c>
      <c r="C37" s="20" t="s">
        <v>337</v>
      </c>
    </row>
    <row r="38" customFormat="false" ht="15" hidden="false" customHeight="false" outlineLevel="0" collapsed="false">
      <c r="A38" s="24" t="s">
        <v>338</v>
      </c>
      <c r="B38" s="30" t="s">
        <v>320</v>
      </c>
      <c r="C38" s="24" t="s">
        <v>339</v>
      </c>
    </row>
    <row r="39" customFormat="false" ht="15" hidden="false" customHeight="false" outlineLevel="0" collapsed="false">
      <c r="A39" s="20" t="s">
        <v>338</v>
      </c>
      <c r="B39" s="29" t="s">
        <v>340</v>
      </c>
      <c r="C39" s="20" t="s">
        <v>271</v>
      </c>
    </row>
    <row r="40" customFormat="false" ht="15" hidden="false" customHeight="false" outlineLevel="0" collapsed="false">
      <c r="A40" s="24" t="s">
        <v>338</v>
      </c>
      <c r="B40" s="30" t="s">
        <v>297</v>
      </c>
      <c r="C40" s="24" t="s">
        <v>341</v>
      </c>
    </row>
    <row r="41" customFormat="false" ht="15" hidden="false" customHeight="false" outlineLevel="0" collapsed="false">
      <c r="A41" s="20" t="s">
        <v>342</v>
      </c>
      <c r="B41" s="29" t="s">
        <v>343</v>
      </c>
      <c r="C41" s="20" t="s">
        <v>344</v>
      </c>
    </row>
    <row r="42" customFormat="false" ht="15" hidden="false" customHeight="false" outlineLevel="0" collapsed="false">
      <c r="A42" s="24" t="s">
        <v>342</v>
      </c>
      <c r="B42" s="30" t="s">
        <v>345</v>
      </c>
      <c r="C42" s="24" t="s">
        <v>271</v>
      </c>
    </row>
    <row r="43" customFormat="false" ht="15" hidden="false" customHeight="false" outlineLevel="0" collapsed="false">
      <c r="A43" s="20" t="s">
        <v>342</v>
      </c>
      <c r="B43" s="29" t="s">
        <v>346</v>
      </c>
      <c r="C43" s="20" t="s">
        <v>271</v>
      </c>
    </row>
    <row r="44" customFormat="false" ht="15" hidden="false" customHeight="false" outlineLevel="0" collapsed="false">
      <c r="A44" s="24" t="s">
        <v>347</v>
      </c>
      <c r="B44" s="30" t="s">
        <v>348</v>
      </c>
      <c r="C44" s="24" t="s">
        <v>349</v>
      </c>
    </row>
    <row r="45" customFormat="false" ht="15" hidden="false" customHeight="false" outlineLevel="0" collapsed="false">
      <c r="A45" s="20" t="s">
        <v>347</v>
      </c>
      <c r="B45" s="29" t="s">
        <v>295</v>
      </c>
      <c r="C45" s="20" t="s">
        <v>350</v>
      </c>
    </row>
    <row r="46" customFormat="false" ht="15" hidden="false" customHeight="false" outlineLevel="0" collapsed="false">
      <c r="A46" s="24" t="s">
        <v>347</v>
      </c>
      <c r="B46" s="30" t="s">
        <v>299</v>
      </c>
      <c r="C46" s="24" t="s">
        <v>351</v>
      </c>
    </row>
    <row r="47" customFormat="false" ht="15" hidden="false" customHeight="false" outlineLevel="0" collapsed="false">
      <c r="A47" s="20" t="s">
        <v>352</v>
      </c>
      <c r="B47" s="29" t="s">
        <v>353</v>
      </c>
      <c r="C47" s="20" t="s">
        <v>354</v>
      </c>
    </row>
    <row r="48" customFormat="false" ht="15" hidden="false" customHeight="false" outlineLevel="0" collapsed="false">
      <c r="A48" s="24" t="s">
        <v>352</v>
      </c>
      <c r="B48" s="30" t="s">
        <v>295</v>
      </c>
      <c r="C48" s="24" t="s">
        <v>328</v>
      </c>
    </row>
    <row r="49" customFormat="false" ht="15" hidden="false" customHeight="false" outlineLevel="0" collapsed="false">
      <c r="A49" s="20" t="s">
        <v>352</v>
      </c>
      <c r="B49" s="29" t="s">
        <v>355</v>
      </c>
      <c r="C49" s="20" t="s">
        <v>271</v>
      </c>
    </row>
    <row r="50" customFormat="false" ht="23.85" hidden="false" customHeight="false" outlineLevel="0" collapsed="false">
      <c r="A50" s="23" t="s">
        <v>356</v>
      </c>
      <c r="B50" s="30" t="s">
        <v>357</v>
      </c>
      <c r="C50" s="24" t="s">
        <v>358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"/>
    <col collapsed="false" customWidth="true" hidden="false" outlineLevel="0" max="3" min="3" style="0" width="20"/>
    <col collapsed="false" customWidth="true" hidden="false" outlineLevel="0" max="19" min="4" style="0" width="9"/>
    <col collapsed="false" customWidth="true" hidden="false" outlineLevel="0" max="21" min="20" style="0" width="7"/>
  </cols>
  <sheetData>
    <row r="1" customFormat="false" ht="24" hidden="false" customHeight="true" outlineLevel="0" collapsed="false">
      <c r="A1" s="18" t="s">
        <v>359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customFormat="false" ht="15" hidden="false" customHeight="false" outlineLevel="0" collapsed="false">
      <c r="A2" s="26" t="s">
        <v>360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</row>
    <row r="4" customFormat="false" ht="36" hidden="false" customHeight="true" outlineLevel="0" collapsed="false">
      <c r="A4" s="6" t="s">
        <v>6</v>
      </c>
      <c r="B4" s="7" t="s">
        <v>98</v>
      </c>
      <c r="C4" s="7" t="s">
        <v>100</v>
      </c>
      <c r="D4" s="6" t="s">
        <v>269</v>
      </c>
      <c r="E4" s="6" t="s">
        <v>278</v>
      </c>
      <c r="F4" s="6" t="s">
        <v>361</v>
      </c>
      <c r="G4" s="6" t="s">
        <v>362</v>
      </c>
      <c r="H4" s="6" t="s">
        <v>363</v>
      </c>
      <c r="I4" s="6" t="s">
        <v>364</v>
      </c>
      <c r="J4" s="6" t="s">
        <v>365</v>
      </c>
      <c r="K4" s="6" t="s">
        <v>366</v>
      </c>
      <c r="L4" s="6" t="s">
        <v>367</v>
      </c>
      <c r="M4" s="6" t="s">
        <v>368</v>
      </c>
      <c r="N4" s="6" t="s">
        <v>369</v>
      </c>
      <c r="O4" s="6" t="s">
        <v>370</v>
      </c>
      <c r="P4" s="6" t="s">
        <v>338</v>
      </c>
      <c r="Q4" s="6" t="s">
        <v>371</v>
      </c>
      <c r="R4" s="6" t="s">
        <v>372</v>
      </c>
      <c r="S4" s="6" t="s">
        <v>352</v>
      </c>
      <c r="T4" s="7" t="s">
        <v>373</v>
      </c>
      <c r="U4" s="7" t="s">
        <v>374</v>
      </c>
    </row>
    <row r="5" customFormat="false" ht="15" hidden="false" customHeight="false" outlineLevel="0" collapsed="false">
      <c r="A5" s="10" t="n">
        <v>1</v>
      </c>
      <c r="B5" s="31" t="s">
        <v>106</v>
      </c>
      <c r="C5" s="27" t="s">
        <v>107</v>
      </c>
      <c r="D5" s="10" t="s">
        <v>375</v>
      </c>
      <c r="E5" s="10" t="s">
        <v>375</v>
      </c>
      <c r="F5" s="10" t="s">
        <v>375</v>
      </c>
      <c r="G5" s="10" t="s">
        <v>112</v>
      </c>
      <c r="H5" s="10" t="s">
        <v>375</v>
      </c>
      <c r="I5" s="10" t="s">
        <v>375</v>
      </c>
      <c r="J5" s="10" t="s">
        <v>375</v>
      </c>
      <c r="K5" s="10" t="s">
        <v>112</v>
      </c>
      <c r="L5" s="10" t="s">
        <v>112</v>
      </c>
      <c r="M5" s="10" t="s">
        <v>112</v>
      </c>
      <c r="N5" s="10" t="s">
        <v>112</v>
      </c>
      <c r="O5" s="10" t="s">
        <v>112</v>
      </c>
      <c r="P5" s="10" t="s">
        <v>375</v>
      </c>
      <c r="Q5" s="10" t="s">
        <v>112</v>
      </c>
      <c r="R5" s="10" t="s">
        <v>112</v>
      </c>
      <c r="S5" s="10" t="s">
        <v>375</v>
      </c>
      <c r="T5" s="31" t="n">
        <f aca="false">COUNTIF(D5:S5,"done")</f>
        <v>0</v>
      </c>
      <c r="U5" s="10" t="n">
        <f aca="false">COUNTIF(D5:S5,"todo")+COUNTIF(D5:S5,"done")</f>
        <v>8</v>
      </c>
    </row>
    <row r="6" customFormat="false" ht="15" hidden="false" customHeight="false" outlineLevel="0" collapsed="false">
      <c r="A6" s="22" t="n">
        <v>2</v>
      </c>
      <c r="B6" s="32" t="s">
        <v>106</v>
      </c>
      <c r="C6" s="28" t="s">
        <v>113</v>
      </c>
      <c r="D6" s="22" t="s">
        <v>375</v>
      </c>
      <c r="E6" s="22" t="s">
        <v>375</v>
      </c>
      <c r="F6" s="22" t="s">
        <v>375</v>
      </c>
      <c r="G6" s="22" t="s">
        <v>112</v>
      </c>
      <c r="H6" s="22" t="s">
        <v>375</v>
      </c>
      <c r="I6" s="22" t="s">
        <v>375</v>
      </c>
      <c r="J6" s="22" t="s">
        <v>375</v>
      </c>
      <c r="K6" s="22" t="s">
        <v>112</v>
      </c>
      <c r="L6" s="22" t="s">
        <v>112</v>
      </c>
      <c r="M6" s="22" t="s">
        <v>112</v>
      </c>
      <c r="N6" s="22" t="s">
        <v>112</v>
      </c>
      <c r="O6" s="22" t="s">
        <v>112</v>
      </c>
      <c r="P6" s="22" t="s">
        <v>375</v>
      </c>
      <c r="Q6" s="22" t="s">
        <v>112</v>
      </c>
      <c r="R6" s="22" t="s">
        <v>112</v>
      </c>
      <c r="S6" s="22" t="s">
        <v>375</v>
      </c>
      <c r="T6" s="32" t="n">
        <f aca="false">COUNTIF(D6:S6,"done")</f>
        <v>0</v>
      </c>
      <c r="U6" s="22" t="n">
        <f aca="false">COUNTIF(D6:S6,"todo")+COUNTIF(D6:S6,"done")</f>
        <v>8</v>
      </c>
    </row>
    <row r="7" customFormat="false" ht="15" hidden="false" customHeight="false" outlineLevel="0" collapsed="false">
      <c r="A7" s="10" t="n">
        <v>3</v>
      </c>
      <c r="B7" s="31" t="s">
        <v>106</v>
      </c>
      <c r="C7" s="27" t="s">
        <v>117</v>
      </c>
      <c r="D7" s="10" t="s">
        <v>375</v>
      </c>
      <c r="E7" s="10" t="s">
        <v>375</v>
      </c>
      <c r="F7" s="10" t="s">
        <v>375</v>
      </c>
      <c r="G7" s="10" t="s">
        <v>112</v>
      </c>
      <c r="H7" s="10" t="s">
        <v>375</v>
      </c>
      <c r="I7" s="10" t="s">
        <v>375</v>
      </c>
      <c r="J7" s="10" t="s">
        <v>375</v>
      </c>
      <c r="K7" s="10" t="s">
        <v>112</v>
      </c>
      <c r="L7" s="10" t="s">
        <v>112</v>
      </c>
      <c r="M7" s="10" t="s">
        <v>112</v>
      </c>
      <c r="N7" s="10" t="s">
        <v>112</v>
      </c>
      <c r="O7" s="10" t="s">
        <v>112</v>
      </c>
      <c r="P7" s="10" t="s">
        <v>375</v>
      </c>
      <c r="Q7" s="10" t="s">
        <v>112</v>
      </c>
      <c r="R7" s="10" t="s">
        <v>112</v>
      </c>
      <c r="S7" s="10" t="s">
        <v>375</v>
      </c>
      <c r="T7" s="31" t="n">
        <f aca="false">COUNTIF(D7:S7,"done")</f>
        <v>0</v>
      </c>
      <c r="U7" s="10" t="n">
        <f aca="false">COUNTIF(D7:S7,"todo")+COUNTIF(D7:S7,"done")</f>
        <v>8</v>
      </c>
    </row>
    <row r="8" customFormat="false" ht="15" hidden="false" customHeight="false" outlineLevel="0" collapsed="false">
      <c r="A8" s="22" t="n">
        <v>4</v>
      </c>
      <c r="B8" s="32" t="s">
        <v>106</v>
      </c>
      <c r="C8" s="28" t="s">
        <v>123</v>
      </c>
      <c r="D8" s="22" t="s">
        <v>375</v>
      </c>
      <c r="E8" s="22" t="s">
        <v>375</v>
      </c>
      <c r="F8" s="22" t="s">
        <v>375</v>
      </c>
      <c r="G8" s="22" t="s">
        <v>112</v>
      </c>
      <c r="H8" s="22" t="s">
        <v>375</v>
      </c>
      <c r="I8" s="22" t="s">
        <v>375</v>
      </c>
      <c r="J8" s="22" t="s">
        <v>375</v>
      </c>
      <c r="K8" s="22" t="s">
        <v>112</v>
      </c>
      <c r="L8" s="22" t="s">
        <v>112</v>
      </c>
      <c r="M8" s="22" t="s">
        <v>112</v>
      </c>
      <c r="N8" s="22" t="s">
        <v>112</v>
      </c>
      <c r="O8" s="22" t="s">
        <v>112</v>
      </c>
      <c r="P8" s="22" t="s">
        <v>375</v>
      </c>
      <c r="Q8" s="22" t="s">
        <v>112</v>
      </c>
      <c r="R8" s="22" t="s">
        <v>112</v>
      </c>
      <c r="S8" s="22" t="s">
        <v>375</v>
      </c>
      <c r="T8" s="32" t="n">
        <f aca="false">COUNTIF(D8:S8,"done")</f>
        <v>0</v>
      </c>
      <c r="U8" s="22" t="n">
        <f aca="false">COUNTIF(D8:S8,"todo")+COUNTIF(D8:S8,"done")</f>
        <v>8</v>
      </c>
    </row>
    <row r="9" customFormat="false" ht="15" hidden="false" customHeight="false" outlineLevel="0" collapsed="false">
      <c r="A9" s="10" t="n">
        <v>5</v>
      </c>
      <c r="B9" s="31" t="s">
        <v>106</v>
      </c>
      <c r="C9" s="27" t="s">
        <v>129</v>
      </c>
      <c r="D9" s="10" t="s">
        <v>375</v>
      </c>
      <c r="E9" s="10" t="s">
        <v>375</v>
      </c>
      <c r="F9" s="10" t="s">
        <v>375</v>
      </c>
      <c r="G9" s="10" t="s">
        <v>112</v>
      </c>
      <c r="H9" s="10" t="s">
        <v>375</v>
      </c>
      <c r="I9" s="10" t="s">
        <v>375</v>
      </c>
      <c r="J9" s="10" t="s">
        <v>375</v>
      </c>
      <c r="K9" s="10" t="s">
        <v>112</v>
      </c>
      <c r="L9" s="10" t="s">
        <v>112</v>
      </c>
      <c r="M9" s="10" t="s">
        <v>112</v>
      </c>
      <c r="N9" s="10" t="s">
        <v>112</v>
      </c>
      <c r="O9" s="10" t="s">
        <v>112</v>
      </c>
      <c r="P9" s="10" t="s">
        <v>375</v>
      </c>
      <c r="Q9" s="10" t="s">
        <v>112</v>
      </c>
      <c r="R9" s="10" t="s">
        <v>112</v>
      </c>
      <c r="S9" s="10" t="s">
        <v>375</v>
      </c>
      <c r="T9" s="31" t="n">
        <f aca="false">COUNTIF(D9:S9,"done")</f>
        <v>0</v>
      </c>
      <c r="U9" s="10" t="n">
        <f aca="false">COUNTIF(D9:S9,"todo")+COUNTIF(D9:S9,"done")</f>
        <v>8</v>
      </c>
    </row>
    <row r="10" customFormat="false" ht="15" hidden="false" customHeight="false" outlineLevel="0" collapsed="false">
      <c r="A10" s="22" t="n">
        <v>6</v>
      </c>
      <c r="B10" s="32" t="s">
        <v>106</v>
      </c>
      <c r="C10" s="28" t="s">
        <v>135</v>
      </c>
      <c r="D10" s="22" t="s">
        <v>375</v>
      </c>
      <c r="E10" s="22" t="s">
        <v>375</v>
      </c>
      <c r="F10" s="22" t="s">
        <v>375</v>
      </c>
      <c r="G10" s="22" t="s">
        <v>112</v>
      </c>
      <c r="H10" s="22" t="s">
        <v>375</v>
      </c>
      <c r="I10" s="22" t="s">
        <v>375</v>
      </c>
      <c r="J10" s="22" t="s">
        <v>375</v>
      </c>
      <c r="K10" s="22" t="s">
        <v>112</v>
      </c>
      <c r="L10" s="22" t="s">
        <v>112</v>
      </c>
      <c r="M10" s="22" t="s">
        <v>112</v>
      </c>
      <c r="N10" s="22" t="s">
        <v>112</v>
      </c>
      <c r="O10" s="22" t="s">
        <v>112</v>
      </c>
      <c r="P10" s="22" t="s">
        <v>375</v>
      </c>
      <c r="Q10" s="22" t="s">
        <v>112</v>
      </c>
      <c r="R10" s="22" t="s">
        <v>112</v>
      </c>
      <c r="S10" s="22" t="s">
        <v>375</v>
      </c>
      <c r="T10" s="32" t="n">
        <f aca="false">COUNTIF(D10:S10,"done")</f>
        <v>0</v>
      </c>
      <c r="U10" s="22" t="n">
        <f aca="false">COUNTIF(D10:S10,"todo")+COUNTIF(D10:S10,"done")</f>
        <v>8</v>
      </c>
    </row>
    <row r="11" customFormat="false" ht="15" hidden="false" customHeight="false" outlineLevel="0" collapsed="false">
      <c r="A11" s="10" t="n">
        <v>7</v>
      </c>
      <c r="B11" s="31" t="s">
        <v>106</v>
      </c>
      <c r="C11" s="27" t="s">
        <v>141</v>
      </c>
      <c r="D11" s="10" t="s">
        <v>375</v>
      </c>
      <c r="E11" s="10" t="s">
        <v>375</v>
      </c>
      <c r="F11" s="10" t="s">
        <v>375</v>
      </c>
      <c r="G11" s="10" t="s">
        <v>112</v>
      </c>
      <c r="H11" s="10" t="s">
        <v>375</v>
      </c>
      <c r="I11" s="10" t="s">
        <v>375</v>
      </c>
      <c r="J11" s="10" t="s">
        <v>375</v>
      </c>
      <c r="K11" s="10" t="s">
        <v>112</v>
      </c>
      <c r="L11" s="10" t="s">
        <v>112</v>
      </c>
      <c r="M11" s="10" t="s">
        <v>112</v>
      </c>
      <c r="N11" s="10" t="s">
        <v>112</v>
      </c>
      <c r="O11" s="10" t="s">
        <v>112</v>
      </c>
      <c r="P11" s="10" t="s">
        <v>375</v>
      </c>
      <c r="Q11" s="10" t="s">
        <v>112</v>
      </c>
      <c r="R11" s="10" t="s">
        <v>112</v>
      </c>
      <c r="S11" s="10" t="s">
        <v>375</v>
      </c>
      <c r="T11" s="31" t="n">
        <f aca="false">COUNTIF(D11:S11,"done")</f>
        <v>0</v>
      </c>
      <c r="U11" s="10" t="n">
        <f aca="false">COUNTIF(D11:S11,"todo")+COUNTIF(D11:S11,"done")</f>
        <v>8</v>
      </c>
    </row>
    <row r="12" customFormat="false" ht="15" hidden="false" customHeight="false" outlineLevel="0" collapsed="false">
      <c r="A12" s="22" t="n">
        <v>8</v>
      </c>
      <c r="B12" s="32" t="s">
        <v>106</v>
      </c>
      <c r="C12" s="28" t="s">
        <v>146</v>
      </c>
      <c r="D12" s="22" t="s">
        <v>375</v>
      </c>
      <c r="E12" s="22" t="s">
        <v>375</v>
      </c>
      <c r="F12" s="22" t="s">
        <v>375</v>
      </c>
      <c r="G12" s="22" t="s">
        <v>112</v>
      </c>
      <c r="H12" s="22" t="s">
        <v>375</v>
      </c>
      <c r="I12" s="22" t="s">
        <v>375</v>
      </c>
      <c r="J12" s="22" t="s">
        <v>375</v>
      </c>
      <c r="K12" s="22" t="s">
        <v>112</v>
      </c>
      <c r="L12" s="22" t="s">
        <v>112</v>
      </c>
      <c r="M12" s="22" t="s">
        <v>112</v>
      </c>
      <c r="N12" s="22" t="s">
        <v>112</v>
      </c>
      <c r="O12" s="22" t="s">
        <v>112</v>
      </c>
      <c r="P12" s="22" t="s">
        <v>375</v>
      </c>
      <c r="Q12" s="22" t="s">
        <v>112</v>
      </c>
      <c r="R12" s="22" t="s">
        <v>112</v>
      </c>
      <c r="S12" s="22" t="s">
        <v>375</v>
      </c>
      <c r="T12" s="32" t="n">
        <f aca="false">COUNTIF(D12:S12,"done")</f>
        <v>0</v>
      </c>
      <c r="U12" s="22" t="n">
        <f aca="false">COUNTIF(D12:S12,"todo")+COUNTIF(D12:S12,"done")</f>
        <v>8</v>
      </c>
    </row>
    <row r="13" customFormat="false" ht="15" hidden="false" customHeight="false" outlineLevel="0" collapsed="false">
      <c r="A13" s="10" t="n">
        <v>9</v>
      </c>
      <c r="B13" s="31" t="s">
        <v>152</v>
      </c>
      <c r="C13" s="27" t="s">
        <v>153</v>
      </c>
      <c r="D13" s="10" t="s">
        <v>112</v>
      </c>
      <c r="E13" s="10" t="s">
        <v>112</v>
      </c>
      <c r="F13" s="10" t="s">
        <v>375</v>
      </c>
      <c r="G13" s="10" t="s">
        <v>112</v>
      </c>
      <c r="H13" s="10" t="s">
        <v>375</v>
      </c>
      <c r="I13" s="10" t="s">
        <v>375</v>
      </c>
      <c r="J13" s="10" t="s">
        <v>112</v>
      </c>
      <c r="K13" s="10" t="s">
        <v>375</v>
      </c>
      <c r="L13" s="10" t="s">
        <v>112</v>
      </c>
      <c r="M13" s="10" t="s">
        <v>112</v>
      </c>
      <c r="N13" s="10" t="s">
        <v>112</v>
      </c>
      <c r="O13" s="10" t="s">
        <v>112</v>
      </c>
      <c r="P13" s="10" t="s">
        <v>375</v>
      </c>
      <c r="Q13" s="10" t="s">
        <v>375</v>
      </c>
      <c r="R13" s="10" t="s">
        <v>375</v>
      </c>
      <c r="S13" s="10" t="s">
        <v>375</v>
      </c>
      <c r="T13" s="31" t="n">
        <f aca="false">COUNTIF(D13:S13,"done")</f>
        <v>0</v>
      </c>
      <c r="U13" s="10" t="n">
        <f aca="false">COUNTIF(D13:S13,"todo")+COUNTIF(D13:S13,"done")</f>
        <v>8</v>
      </c>
    </row>
    <row r="14" customFormat="false" ht="15" hidden="false" customHeight="false" outlineLevel="0" collapsed="false">
      <c r="A14" s="22" t="n">
        <v>10</v>
      </c>
      <c r="B14" s="32" t="s">
        <v>152</v>
      </c>
      <c r="C14" s="30" t="s">
        <v>376</v>
      </c>
      <c r="D14" s="22" t="s">
        <v>112</v>
      </c>
      <c r="E14" s="22" t="s">
        <v>112</v>
      </c>
      <c r="F14" s="22" t="s">
        <v>375</v>
      </c>
      <c r="G14" s="22" t="s">
        <v>112</v>
      </c>
      <c r="H14" s="22" t="s">
        <v>375</v>
      </c>
      <c r="I14" s="22" t="s">
        <v>375</v>
      </c>
      <c r="J14" s="22" t="s">
        <v>112</v>
      </c>
      <c r="K14" s="22" t="s">
        <v>375</v>
      </c>
      <c r="L14" s="22" t="s">
        <v>112</v>
      </c>
      <c r="M14" s="22" t="s">
        <v>112</v>
      </c>
      <c r="N14" s="22" t="s">
        <v>112</v>
      </c>
      <c r="O14" s="22" t="s">
        <v>112</v>
      </c>
      <c r="P14" s="22" t="s">
        <v>375</v>
      </c>
      <c r="Q14" s="22" t="s">
        <v>375</v>
      </c>
      <c r="R14" s="22" t="s">
        <v>112</v>
      </c>
      <c r="S14" s="22" t="s">
        <v>375</v>
      </c>
      <c r="T14" s="32" t="n">
        <f aca="false">COUNTIF(D14:S14,"done")</f>
        <v>0</v>
      </c>
      <c r="U14" s="22" t="n">
        <f aca="false">COUNTIF(D14:S14,"todo")+COUNTIF(D14:S14,"done")</f>
        <v>7</v>
      </c>
    </row>
    <row r="15" customFormat="false" ht="15" hidden="false" customHeight="false" outlineLevel="0" collapsed="false">
      <c r="A15" s="10" t="n">
        <v>11</v>
      </c>
      <c r="B15" s="31" t="s">
        <v>152</v>
      </c>
      <c r="C15" s="27" t="s">
        <v>161</v>
      </c>
      <c r="D15" s="10" t="s">
        <v>112</v>
      </c>
      <c r="E15" s="10" t="s">
        <v>112</v>
      </c>
      <c r="F15" s="10" t="s">
        <v>375</v>
      </c>
      <c r="G15" s="10" t="s">
        <v>112</v>
      </c>
      <c r="H15" s="10" t="s">
        <v>375</v>
      </c>
      <c r="I15" s="10" t="s">
        <v>375</v>
      </c>
      <c r="J15" s="10" t="s">
        <v>112</v>
      </c>
      <c r="K15" s="10" t="s">
        <v>375</v>
      </c>
      <c r="L15" s="10" t="s">
        <v>112</v>
      </c>
      <c r="M15" s="10" t="s">
        <v>112</v>
      </c>
      <c r="N15" s="10" t="s">
        <v>112</v>
      </c>
      <c r="O15" s="10" t="s">
        <v>112</v>
      </c>
      <c r="P15" s="10" t="s">
        <v>375</v>
      </c>
      <c r="Q15" s="10" t="s">
        <v>375</v>
      </c>
      <c r="R15" s="10" t="s">
        <v>112</v>
      </c>
      <c r="S15" s="10" t="s">
        <v>375</v>
      </c>
      <c r="T15" s="31" t="n">
        <f aca="false">COUNTIF(D15:S15,"done")</f>
        <v>0</v>
      </c>
      <c r="U15" s="10" t="n">
        <f aca="false">COUNTIF(D15:S15,"todo")+COUNTIF(D15:S15,"done")</f>
        <v>7</v>
      </c>
    </row>
    <row r="16" customFormat="false" ht="15" hidden="false" customHeight="false" outlineLevel="0" collapsed="false">
      <c r="A16" s="22" t="n">
        <v>12</v>
      </c>
      <c r="B16" s="32" t="s">
        <v>152</v>
      </c>
      <c r="C16" s="28" t="s">
        <v>165</v>
      </c>
      <c r="D16" s="22" t="s">
        <v>112</v>
      </c>
      <c r="E16" s="22" t="s">
        <v>112</v>
      </c>
      <c r="F16" s="22" t="s">
        <v>375</v>
      </c>
      <c r="G16" s="22" t="s">
        <v>112</v>
      </c>
      <c r="H16" s="22" t="s">
        <v>375</v>
      </c>
      <c r="I16" s="22" t="s">
        <v>375</v>
      </c>
      <c r="J16" s="22" t="s">
        <v>112</v>
      </c>
      <c r="K16" s="22" t="s">
        <v>375</v>
      </c>
      <c r="L16" s="22" t="s">
        <v>112</v>
      </c>
      <c r="M16" s="22" t="s">
        <v>112</v>
      </c>
      <c r="N16" s="22" t="s">
        <v>112</v>
      </c>
      <c r="O16" s="22" t="s">
        <v>112</v>
      </c>
      <c r="P16" s="22" t="s">
        <v>375</v>
      </c>
      <c r="Q16" s="22" t="s">
        <v>375</v>
      </c>
      <c r="R16" s="22" t="s">
        <v>112</v>
      </c>
      <c r="S16" s="22" t="s">
        <v>375</v>
      </c>
      <c r="T16" s="32" t="n">
        <f aca="false">COUNTIF(D16:S16,"done")</f>
        <v>0</v>
      </c>
      <c r="U16" s="22" t="n">
        <f aca="false">COUNTIF(D16:S16,"todo")+COUNTIF(D16:S16,"done")</f>
        <v>7</v>
      </c>
    </row>
    <row r="17" customFormat="false" ht="15" hidden="false" customHeight="false" outlineLevel="0" collapsed="false">
      <c r="A17" s="10" t="n">
        <v>13</v>
      </c>
      <c r="B17" s="31" t="s">
        <v>152</v>
      </c>
      <c r="C17" s="27" t="s">
        <v>169</v>
      </c>
      <c r="D17" s="10" t="s">
        <v>112</v>
      </c>
      <c r="E17" s="10" t="s">
        <v>112</v>
      </c>
      <c r="F17" s="10" t="s">
        <v>375</v>
      </c>
      <c r="G17" s="10" t="s">
        <v>112</v>
      </c>
      <c r="H17" s="10" t="s">
        <v>375</v>
      </c>
      <c r="I17" s="10" t="s">
        <v>375</v>
      </c>
      <c r="J17" s="10" t="s">
        <v>112</v>
      </c>
      <c r="K17" s="10" t="s">
        <v>375</v>
      </c>
      <c r="L17" s="10" t="s">
        <v>112</v>
      </c>
      <c r="M17" s="10" t="s">
        <v>112</v>
      </c>
      <c r="N17" s="10" t="s">
        <v>112</v>
      </c>
      <c r="O17" s="10" t="s">
        <v>112</v>
      </c>
      <c r="P17" s="10" t="s">
        <v>375</v>
      </c>
      <c r="Q17" s="10" t="s">
        <v>375</v>
      </c>
      <c r="R17" s="10" t="s">
        <v>112</v>
      </c>
      <c r="S17" s="10" t="s">
        <v>375</v>
      </c>
      <c r="T17" s="31" t="n">
        <f aca="false">COUNTIF(D17:S17,"done")</f>
        <v>0</v>
      </c>
      <c r="U17" s="10" t="n">
        <f aca="false">COUNTIF(D17:S17,"todo")+COUNTIF(D17:S17,"done")</f>
        <v>7</v>
      </c>
    </row>
    <row r="18" customFormat="false" ht="15" hidden="false" customHeight="false" outlineLevel="0" collapsed="false">
      <c r="A18" s="22" t="n">
        <v>14</v>
      </c>
      <c r="B18" s="32" t="s">
        <v>152</v>
      </c>
      <c r="C18" s="30" t="s">
        <v>377</v>
      </c>
      <c r="D18" s="22" t="s">
        <v>112</v>
      </c>
      <c r="E18" s="22" t="s">
        <v>112</v>
      </c>
      <c r="F18" s="22" t="s">
        <v>375</v>
      </c>
      <c r="G18" s="22" t="s">
        <v>112</v>
      </c>
      <c r="H18" s="22" t="s">
        <v>375</v>
      </c>
      <c r="I18" s="22" t="s">
        <v>375</v>
      </c>
      <c r="J18" s="22" t="s">
        <v>112</v>
      </c>
      <c r="K18" s="22" t="s">
        <v>375</v>
      </c>
      <c r="L18" s="22" t="s">
        <v>112</v>
      </c>
      <c r="M18" s="22" t="s">
        <v>112</v>
      </c>
      <c r="N18" s="22" t="s">
        <v>112</v>
      </c>
      <c r="O18" s="22" t="s">
        <v>112</v>
      </c>
      <c r="P18" s="22" t="s">
        <v>375</v>
      </c>
      <c r="Q18" s="22" t="s">
        <v>375</v>
      </c>
      <c r="R18" s="22" t="s">
        <v>112</v>
      </c>
      <c r="S18" s="22" t="s">
        <v>375</v>
      </c>
      <c r="T18" s="32" t="n">
        <f aca="false">COUNTIF(D18:S18,"done")</f>
        <v>0</v>
      </c>
      <c r="U18" s="22" t="n">
        <f aca="false">COUNTIF(D18:S18,"todo")+COUNTIF(D18:S18,"done")</f>
        <v>7</v>
      </c>
    </row>
    <row r="19" customFormat="false" ht="15" hidden="false" customHeight="false" outlineLevel="0" collapsed="false">
      <c r="A19" s="10" t="n">
        <v>15</v>
      </c>
      <c r="B19" s="31" t="s">
        <v>152</v>
      </c>
      <c r="C19" s="27" t="s">
        <v>177</v>
      </c>
      <c r="D19" s="10" t="s">
        <v>112</v>
      </c>
      <c r="E19" s="10" t="s">
        <v>112</v>
      </c>
      <c r="F19" s="10" t="s">
        <v>375</v>
      </c>
      <c r="G19" s="10" t="s">
        <v>112</v>
      </c>
      <c r="H19" s="10" t="s">
        <v>375</v>
      </c>
      <c r="I19" s="10" t="s">
        <v>375</v>
      </c>
      <c r="J19" s="10" t="s">
        <v>112</v>
      </c>
      <c r="K19" s="10" t="s">
        <v>375</v>
      </c>
      <c r="L19" s="10" t="s">
        <v>112</v>
      </c>
      <c r="M19" s="10" t="s">
        <v>112</v>
      </c>
      <c r="N19" s="10" t="s">
        <v>112</v>
      </c>
      <c r="O19" s="10" t="s">
        <v>112</v>
      </c>
      <c r="P19" s="10" t="s">
        <v>375</v>
      </c>
      <c r="Q19" s="10" t="s">
        <v>375</v>
      </c>
      <c r="R19" s="10" t="s">
        <v>112</v>
      </c>
      <c r="S19" s="10" t="s">
        <v>375</v>
      </c>
      <c r="T19" s="31" t="n">
        <f aca="false">COUNTIF(D19:S19,"done")</f>
        <v>0</v>
      </c>
      <c r="U19" s="10" t="n">
        <f aca="false">COUNTIF(D19:S19,"todo")+COUNTIF(D19:S19,"done")</f>
        <v>7</v>
      </c>
    </row>
    <row r="20" customFormat="false" ht="15" hidden="false" customHeight="false" outlineLevel="0" collapsed="false">
      <c r="A20" s="22" t="n">
        <v>16</v>
      </c>
      <c r="B20" s="32" t="s">
        <v>183</v>
      </c>
      <c r="C20" s="28" t="s">
        <v>184</v>
      </c>
      <c r="D20" s="22" t="s">
        <v>112</v>
      </c>
      <c r="E20" s="22" t="s">
        <v>375</v>
      </c>
      <c r="F20" s="22" t="s">
        <v>112</v>
      </c>
      <c r="G20" s="22" t="s">
        <v>112</v>
      </c>
      <c r="H20" s="22" t="s">
        <v>112</v>
      </c>
      <c r="I20" s="22" t="s">
        <v>112</v>
      </c>
      <c r="J20" s="22" t="s">
        <v>112</v>
      </c>
      <c r="K20" s="22" t="s">
        <v>112</v>
      </c>
      <c r="L20" s="22" t="s">
        <v>112</v>
      </c>
      <c r="M20" s="22" t="s">
        <v>375</v>
      </c>
      <c r="N20" s="22" t="s">
        <v>112</v>
      </c>
      <c r="O20" s="22" t="s">
        <v>375</v>
      </c>
      <c r="P20" s="22" t="s">
        <v>112</v>
      </c>
      <c r="Q20" s="22" t="s">
        <v>112</v>
      </c>
      <c r="R20" s="22" t="s">
        <v>375</v>
      </c>
      <c r="S20" s="22" t="s">
        <v>112</v>
      </c>
      <c r="T20" s="32" t="n">
        <f aca="false">COUNTIF(D20:S20,"done")</f>
        <v>0</v>
      </c>
      <c r="U20" s="22" t="n">
        <f aca="false">COUNTIF(D20:S20,"todo")+COUNTIF(D20:S20,"done")</f>
        <v>4</v>
      </c>
    </row>
    <row r="21" customFormat="false" ht="15" hidden="false" customHeight="false" outlineLevel="0" collapsed="false">
      <c r="A21" s="10" t="n">
        <v>17</v>
      </c>
      <c r="B21" s="31" t="s">
        <v>183</v>
      </c>
      <c r="C21" s="27" t="s">
        <v>188</v>
      </c>
      <c r="D21" s="10" t="s">
        <v>112</v>
      </c>
      <c r="E21" s="10" t="s">
        <v>375</v>
      </c>
      <c r="F21" s="10" t="s">
        <v>112</v>
      </c>
      <c r="G21" s="10" t="s">
        <v>112</v>
      </c>
      <c r="H21" s="10" t="s">
        <v>112</v>
      </c>
      <c r="I21" s="10" t="s">
        <v>112</v>
      </c>
      <c r="J21" s="10" t="s">
        <v>112</v>
      </c>
      <c r="K21" s="10" t="s">
        <v>112</v>
      </c>
      <c r="L21" s="10" t="s">
        <v>112</v>
      </c>
      <c r="M21" s="10" t="s">
        <v>375</v>
      </c>
      <c r="N21" s="10" t="s">
        <v>112</v>
      </c>
      <c r="O21" s="10" t="s">
        <v>375</v>
      </c>
      <c r="P21" s="10" t="s">
        <v>112</v>
      </c>
      <c r="Q21" s="10" t="s">
        <v>112</v>
      </c>
      <c r="R21" s="10" t="s">
        <v>375</v>
      </c>
      <c r="S21" s="10" t="s">
        <v>112</v>
      </c>
      <c r="T21" s="31" t="n">
        <f aca="false">COUNTIF(D21:S21,"done")</f>
        <v>0</v>
      </c>
      <c r="U21" s="10" t="n">
        <f aca="false">COUNTIF(D21:S21,"todo")+COUNTIF(D21:S21,"done")</f>
        <v>4</v>
      </c>
    </row>
    <row r="22" customFormat="false" ht="15" hidden="false" customHeight="false" outlineLevel="0" collapsed="false">
      <c r="A22" s="22" t="n">
        <v>18</v>
      </c>
      <c r="B22" s="32" t="s">
        <v>183</v>
      </c>
      <c r="C22" s="28" t="s">
        <v>192</v>
      </c>
      <c r="D22" s="22" t="s">
        <v>112</v>
      </c>
      <c r="E22" s="22" t="s">
        <v>375</v>
      </c>
      <c r="F22" s="22" t="s">
        <v>112</v>
      </c>
      <c r="G22" s="22" t="s">
        <v>112</v>
      </c>
      <c r="H22" s="22" t="s">
        <v>112</v>
      </c>
      <c r="I22" s="22" t="s">
        <v>112</v>
      </c>
      <c r="J22" s="22" t="s">
        <v>112</v>
      </c>
      <c r="K22" s="22" t="s">
        <v>112</v>
      </c>
      <c r="L22" s="22" t="s">
        <v>112</v>
      </c>
      <c r="M22" s="22" t="s">
        <v>375</v>
      </c>
      <c r="N22" s="22" t="s">
        <v>112</v>
      </c>
      <c r="O22" s="22" t="s">
        <v>375</v>
      </c>
      <c r="P22" s="22" t="s">
        <v>112</v>
      </c>
      <c r="Q22" s="22" t="s">
        <v>112</v>
      </c>
      <c r="R22" s="22" t="s">
        <v>375</v>
      </c>
      <c r="S22" s="22" t="s">
        <v>112</v>
      </c>
      <c r="T22" s="32" t="n">
        <f aca="false">COUNTIF(D22:S22,"done")</f>
        <v>0</v>
      </c>
      <c r="U22" s="22" t="n">
        <f aca="false">COUNTIF(D22:S22,"todo")+COUNTIF(D22:S22,"done")</f>
        <v>4</v>
      </c>
    </row>
    <row r="23" customFormat="false" ht="15" hidden="false" customHeight="true" outlineLevel="0" collapsed="false">
      <c r="A23" s="33" t="s">
        <v>378</v>
      </c>
      <c r="B23" s="33"/>
      <c r="C23" s="33"/>
      <c r="D23" s="11" t="n">
        <f aca="false">COUNTIF(D5:D22,"done")</f>
        <v>0</v>
      </c>
      <c r="E23" s="11" t="n">
        <f aca="false">COUNTIF(E5:E22,"done")</f>
        <v>0</v>
      </c>
      <c r="F23" s="11" t="n">
        <f aca="false">COUNTIF(F5:F22,"done")</f>
        <v>0</v>
      </c>
      <c r="G23" s="11" t="n">
        <f aca="false">COUNTIF(G5:G22,"done")</f>
        <v>0</v>
      </c>
      <c r="H23" s="11" t="n">
        <f aca="false">COUNTIF(H5:H22,"done")</f>
        <v>0</v>
      </c>
      <c r="I23" s="11" t="n">
        <f aca="false">COUNTIF(I5:I22,"done")</f>
        <v>0</v>
      </c>
      <c r="J23" s="11" t="n">
        <f aca="false">COUNTIF(J5:J22,"done")</f>
        <v>0</v>
      </c>
      <c r="K23" s="11" t="n">
        <f aca="false">COUNTIF(K5:K22,"done")</f>
        <v>0</v>
      </c>
      <c r="L23" s="11" t="n">
        <f aca="false">COUNTIF(L5:L22,"done")</f>
        <v>0</v>
      </c>
      <c r="M23" s="11" t="n">
        <f aca="false">COUNTIF(M5:M22,"done")</f>
        <v>0</v>
      </c>
      <c r="N23" s="11" t="n">
        <f aca="false">COUNTIF(N5:N22,"done")</f>
        <v>0</v>
      </c>
      <c r="O23" s="11" t="n">
        <f aca="false">COUNTIF(O5:O22,"done")</f>
        <v>0</v>
      </c>
      <c r="P23" s="11" t="n">
        <f aca="false">COUNTIF(P5:P22,"done")</f>
        <v>0</v>
      </c>
      <c r="Q23" s="11" t="n">
        <f aca="false">COUNTIF(Q5:Q22,"done")</f>
        <v>0</v>
      </c>
      <c r="R23" s="11" t="n">
        <f aca="false">COUNTIF(R5:R22,"done")</f>
        <v>0</v>
      </c>
      <c r="S23" s="11" t="n">
        <f aca="false">COUNTIF(S5:S22,"done")</f>
        <v>0</v>
      </c>
      <c r="T23" s="11" t="n">
        <f aca="false">SUM(T5:T22)</f>
        <v>0</v>
      </c>
      <c r="U23" s="11" t="n">
        <f aca="false">SUM(U5:U22)</f>
        <v>126</v>
      </c>
    </row>
    <row r="24" customFormat="false" ht="15" hidden="false" customHeight="true" outlineLevel="0" collapsed="false">
      <c r="A24" s="34" t="s">
        <v>379</v>
      </c>
      <c r="B24" s="34"/>
      <c r="C24" s="34"/>
      <c r="D24" s="35" t="n">
        <v>3</v>
      </c>
      <c r="E24" s="35" t="n">
        <v>4</v>
      </c>
      <c r="F24" s="35" t="n">
        <v>5</v>
      </c>
      <c r="G24" s="35" t="n">
        <v>3</v>
      </c>
      <c r="H24" s="35" t="n">
        <v>3</v>
      </c>
      <c r="I24" s="35" t="n">
        <v>3</v>
      </c>
      <c r="J24" s="35" t="n">
        <v>3</v>
      </c>
      <c r="K24" s="35" t="n">
        <v>3</v>
      </c>
      <c r="L24" s="35" t="n">
        <v>2</v>
      </c>
      <c r="M24" s="35" t="n">
        <v>3</v>
      </c>
      <c r="N24" s="35" t="n">
        <v>3</v>
      </c>
      <c r="O24" s="35" t="n">
        <v>2</v>
      </c>
      <c r="P24" s="35" t="n">
        <v>3</v>
      </c>
      <c r="Q24" s="35" t="n">
        <v>2</v>
      </c>
      <c r="R24" s="35" t="n">
        <v>3</v>
      </c>
      <c r="S24" s="35" t="n">
        <v>3</v>
      </c>
      <c r="T24" s="36"/>
      <c r="U24" s="36"/>
    </row>
  </sheetData>
  <mergeCells count="4">
    <mergeCell ref="A1:T1"/>
    <mergeCell ref="A2:T2"/>
    <mergeCell ref="A23:C23"/>
    <mergeCell ref="A24:C24"/>
  </mergeCells>
  <conditionalFormatting sqref="D5:S22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"todo"</formula>
    </cfRule>
    <cfRule type="expression" priority="4" aboveAverage="0" equalAverage="0" bottom="0" percent="0" rank="0" text="" dxfId="2">
      <formula>ISNUMBER(SEARCH("skip",D5))</formula>
    </cfRule>
  </conditionalFormatting>
  <dataValidations count="1">
    <dataValidation allowBlank="true" errorStyle="stop" operator="between" prompt="- / todo / done / skip 중 선택. skip 시 셀에 'skip: 이유' 처럼 직접 기재 가능" promptTitle="캡처 상태" showDropDown="false" showErrorMessage="false" showInputMessage="false" sqref="D5:S22" type="list">
      <formula1>"-,todo,done,skip"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32"/>
    <col collapsed="false" customWidth="true" hidden="false" outlineLevel="0" max="7" min="7" style="0" width="30"/>
    <col collapsed="false" customWidth="true" hidden="false" outlineLevel="0" max="8" min="8" style="0" width="28"/>
    <col collapsed="false" customWidth="true" hidden="false" outlineLevel="0" max="9" min="9" style="0" width="7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3" min="13" style="0" width="7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40"/>
  </cols>
  <sheetData>
    <row r="1" customFormat="false" ht="24" hidden="false" customHeight="true" outlineLevel="0" collapsed="false">
      <c r="A1" s="18" t="s">
        <v>380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customFormat="false" ht="15" hidden="false" customHeight="false" outlineLevel="0" collapsed="false">
      <c r="A2" s="26" t="s">
        <v>381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4" customFormat="false" ht="31.5" hidden="false" customHeight="true" outlineLevel="0" collapsed="false">
      <c r="A4" s="6" t="s">
        <v>382</v>
      </c>
      <c r="B4" s="6" t="s">
        <v>346</v>
      </c>
      <c r="C4" s="6" t="s">
        <v>383</v>
      </c>
      <c r="D4" s="6" t="s">
        <v>384</v>
      </c>
      <c r="E4" s="6" t="s">
        <v>353</v>
      </c>
      <c r="F4" s="6" t="s">
        <v>385</v>
      </c>
      <c r="G4" s="6" t="s">
        <v>386</v>
      </c>
      <c r="H4" s="6" t="s">
        <v>387</v>
      </c>
      <c r="I4" s="6" t="s">
        <v>17</v>
      </c>
      <c r="J4" s="6" t="s">
        <v>23</v>
      </c>
      <c r="K4" s="6" t="s">
        <v>29</v>
      </c>
      <c r="L4" s="6" t="s">
        <v>35</v>
      </c>
      <c r="M4" s="6" t="s">
        <v>388</v>
      </c>
      <c r="N4" s="6" t="s">
        <v>389</v>
      </c>
      <c r="O4" s="6" t="s">
        <v>390</v>
      </c>
      <c r="P4" s="6" t="s">
        <v>357</v>
      </c>
      <c r="Q4" s="6" t="s">
        <v>391</v>
      </c>
    </row>
    <row r="5" customFormat="false" ht="15" hidden="false" customHeight="false" outlineLevel="0" collapsed="false">
      <c r="A5" s="31" t="s">
        <v>392</v>
      </c>
      <c r="B5" s="37"/>
      <c r="C5" s="20"/>
      <c r="D5" s="10"/>
      <c r="E5" s="10"/>
      <c r="F5" s="19"/>
      <c r="G5" s="19"/>
      <c r="H5" s="19"/>
      <c r="I5" s="38"/>
      <c r="J5" s="38"/>
      <c r="K5" s="38"/>
      <c r="L5" s="38"/>
      <c r="M5" s="31" t="str">
        <f aca="false">IF(COUNTA(I5:L5)=0,"",N(I5)+N(J5)+N(K5)+N(L5))</f>
        <v/>
      </c>
      <c r="N5" s="31" t="str">
        <f aca="false">IF(M5="","",CHOOSE(M5+1,"★","★★","★★★","★★★★","★★★★★"))</f>
        <v/>
      </c>
      <c r="O5" s="10"/>
      <c r="P5" s="10"/>
      <c r="Q5" s="19"/>
    </row>
    <row r="6" customFormat="false" ht="15" hidden="false" customHeight="false" outlineLevel="0" collapsed="false">
      <c r="A6" s="31" t="s">
        <v>393</v>
      </c>
      <c r="B6" s="37"/>
      <c r="C6" s="20"/>
      <c r="D6" s="10"/>
      <c r="E6" s="10"/>
      <c r="F6" s="19"/>
      <c r="G6" s="19"/>
      <c r="H6" s="19"/>
      <c r="I6" s="38"/>
      <c r="J6" s="38"/>
      <c r="K6" s="38"/>
      <c r="L6" s="38"/>
      <c r="M6" s="31" t="str">
        <f aca="false">IF(COUNTA(I6:L6)=0,"",N(I6)+N(J6)+N(K6)+N(L6))</f>
        <v/>
      </c>
      <c r="N6" s="31" t="str">
        <f aca="false">IF(M6="","",CHOOSE(M6+1,"★","★★","★★★","★★★★","★★★★★"))</f>
        <v/>
      </c>
      <c r="O6" s="10"/>
      <c r="P6" s="10"/>
      <c r="Q6" s="19"/>
    </row>
    <row r="7" customFormat="false" ht="15" hidden="false" customHeight="false" outlineLevel="0" collapsed="false">
      <c r="A7" s="31" t="s">
        <v>394</v>
      </c>
      <c r="B7" s="37"/>
      <c r="C7" s="20"/>
      <c r="D7" s="10"/>
      <c r="E7" s="10"/>
      <c r="F7" s="19"/>
      <c r="G7" s="19"/>
      <c r="H7" s="19"/>
      <c r="I7" s="38"/>
      <c r="J7" s="38"/>
      <c r="K7" s="38"/>
      <c r="L7" s="38"/>
      <c r="M7" s="31" t="str">
        <f aca="false">IF(COUNTA(I7:L7)=0,"",N(I7)+N(J7)+N(K7)+N(L7))</f>
        <v/>
      </c>
      <c r="N7" s="31" t="str">
        <f aca="false">IF(M7="","",CHOOSE(M7+1,"★","★★","★★★","★★★★","★★★★★"))</f>
        <v/>
      </c>
      <c r="O7" s="10"/>
      <c r="P7" s="10"/>
      <c r="Q7" s="19"/>
    </row>
    <row r="8" customFormat="false" ht="15" hidden="false" customHeight="false" outlineLevel="0" collapsed="false">
      <c r="A8" s="31" t="s">
        <v>395</v>
      </c>
      <c r="B8" s="37"/>
      <c r="C8" s="20"/>
      <c r="D8" s="10"/>
      <c r="E8" s="10"/>
      <c r="F8" s="19"/>
      <c r="G8" s="19"/>
      <c r="H8" s="19"/>
      <c r="I8" s="38"/>
      <c r="J8" s="38"/>
      <c r="K8" s="38"/>
      <c r="L8" s="38"/>
      <c r="M8" s="31" t="str">
        <f aca="false">IF(COUNTA(I8:L8)=0,"",N(I8)+N(J8)+N(K8)+N(L8))</f>
        <v/>
      </c>
      <c r="N8" s="31" t="str">
        <f aca="false">IF(M8="","",CHOOSE(M8+1,"★","★★","★★★","★★★★","★★★★★"))</f>
        <v/>
      </c>
      <c r="O8" s="10"/>
      <c r="P8" s="10"/>
      <c r="Q8" s="19"/>
    </row>
    <row r="9" customFormat="false" ht="15" hidden="false" customHeight="false" outlineLevel="0" collapsed="false">
      <c r="A9" s="31" t="s">
        <v>396</v>
      </c>
      <c r="B9" s="37"/>
      <c r="C9" s="20"/>
      <c r="D9" s="10"/>
      <c r="E9" s="10"/>
      <c r="F9" s="19"/>
      <c r="G9" s="19"/>
      <c r="H9" s="19"/>
      <c r="I9" s="38"/>
      <c r="J9" s="38"/>
      <c r="K9" s="38"/>
      <c r="L9" s="38"/>
      <c r="M9" s="31" t="str">
        <f aca="false">IF(COUNTA(I9:L9)=0,"",N(I9)+N(J9)+N(K9)+N(L9))</f>
        <v/>
      </c>
      <c r="N9" s="31" t="str">
        <f aca="false">IF(M9="","",CHOOSE(M9+1,"★","★★","★★★","★★★★","★★★★★"))</f>
        <v/>
      </c>
      <c r="O9" s="10"/>
      <c r="P9" s="10"/>
      <c r="Q9" s="19"/>
    </row>
    <row r="10" customFormat="false" ht="15" hidden="false" customHeight="false" outlineLevel="0" collapsed="false">
      <c r="A10" s="31" t="s">
        <v>397</v>
      </c>
      <c r="B10" s="37"/>
      <c r="C10" s="20"/>
      <c r="D10" s="10"/>
      <c r="E10" s="10"/>
      <c r="F10" s="19"/>
      <c r="G10" s="19"/>
      <c r="H10" s="19"/>
      <c r="I10" s="38"/>
      <c r="J10" s="38"/>
      <c r="K10" s="38"/>
      <c r="L10" s="38"/>
      <c r="M10" s="31" t="str">
        <f aca="false">IF(COUNTA(I10:L10)=0,"",N(I10)+N(J10)+N(K10)+N(L10))</f>
        <v/>
      </c>
      <c r="N10" s="31" t="str">
        <f aca="false">IF(M10="","",CHOOSE(M10+1,"★","★★","★★★","★★★★","★★★★★"))</f>
        <v/>
      </c>
      <c r="O10" s="10"/>
      <c r="P10" s="10"/>
      <c r="Q10" s="19"/>
    </row>
    <row r="11" customFormat="false" ht="15" hidden="false" customHeight="false" outlineLevel="0" collapsed="false">
      <c r="A11" s="31" t="s">
        <v>398</v>
      </c>
      <c r="B11" s="37"/>
      <c r="C11" s="20"/>
      <c r="D11" s="10"/>
      <c r="E11" s="10"/>
      <c r="F11" s="19"/>
      <c r="G11" s="19"/>
      <c r="H11" s="19"/>
      <c r="I11" s="38"/>
      <c r="J11" s="38"/>
      <c r="K11" s="38"/>
      <c r="L11" s="38"/>
      <c r="M11" s="31" t="str">
        <f aca="false">IF(COUNTA(I11:L11)=0,"",N(I11)+N(J11)+N(K11)+N(L11))</f>
        <v/>
      </c>
      <c r="N11" s="31" t="str">
        <f aca="false">IF(M11="","",CHOOSE(M11+1,"★","★★","★★★","★★★★","★★★★★"))</f>
        <v/>
      </c>
      <c r="O11" s="10"/>
      <c r="P11" s="10"/>
      <c r="Q11" s="19"/>
    </row>
    <row r="12" customFormat="false" ht="15" hidden="false" customHeight="false" outlineLevel="0" collapsed="false">
      <c r="A12" s="31" t="s">
        <v>399</v>
      </c>
      <c r="B12" s="37"/>
      <c r="C12" s="20"/>
      <c r="D12" s="10"/>
      <c r="E12" s="10"/>
      <c r="F12" s="19"/>
      <c r="G12" s="19"/>
      <c r="H12" s="19"/>
      <c r="I12" s="38"/>
      <c r="J12" s="38"/>
      <c r="K12" s="38"/>
      <c r="L12" s="38"/>
      <c r="M12" s="31" t="str">
        <f aca="false">IF(COUNTA(I12:L12)=0,"",N(I12)+N(J12)+N(K12)+N(L12))</f>
        <v/>
      </c>
      <c r="N12" s="31" t="str">
        <f aca="false">IF(M12="","",CHOOSE(M12+1,"★","★★","★★★","★★★★","★★★★★"))</f>
        <v/>
      </c>
      <c r="O12" s="10"/>
      <c r="P12" s="10"/>
      <c r="Q12" s="19"/>
    </row>
    <row r="13" customFormat="false" ht="15" hidden="false" customHeight="false" outlineLevel="0" collapsed="false">
      <c r="A13" s="31" t="s">
        <v>400</v>
      </c>
      <c r="B13" s="37"/>
      <c r="C13" s="20"/>
      <c r="D13" s="10"/>
      <c r="E13" s="10"/>
      <c r="F13" s="19"/>
      <c r="G13" s="19"/>
      <c r="H13" s="19"/>
      <c r="I13" s="38"/>
      <c r="J13" s="38"/>
      <c r="K13" s="38"/>
      <c r="L13" s="38"/>
      <c r="M13" s="31" t="str">
        <f aca="false">IF(COUNTA(I13:L13)=0,"",N(I13)+N(J13)+N(K13)+N(L13))</f>
        <v/>
      </c>
      <c r="N13" s="31" t="str">
        <f aca="false">IF(M13="","",CHOOSE(M13+1,"★","★★","★★★","★★★★","★★★★★"))</f>
        <v/>
      </c>
      <c r="O13" s="10"/>
      <c r="P13" s="10"/>
      <c r="Q13" s="19"/>
    </row>
    <row r="14" customFormat="false" ht="15" hidden="false" customHeight="false" outlineLevel="0" collapsed="false">
      <c r="A14" s="31" t="s">
        <v>401</v>
      </c>
      <c r="B14" s="37"/>
      <c r="C14" s="20"/>
      <c r="D14" s="10"/>
      <c r="E14" s="10"/>
      <c r="F14" s="19"/>
      <c r="G14" s="19"/>
      <c r="H14" s="19"/>
      <c r="I14" s="38"/>
      <c r="J14" s="38"/>
      <c r="K14" s="38"/>
      <c r="L14" s="38"/>
      <c r="M14" s="31" t="str">
        <f aca="false">IF(COUNTA(I14:L14)=0,"",N(I14)+N(J14)+N(K14)+N(L14))</f>
        <v/>
      </c>
      <c r="N14" s="31" t="str">
        <f aca="false">IF(M14="","",CHOOSE(M14+1,"★","★★","★★★","★★★★","★★★★★"))</f>
        <v/>
      </c>
      <c r="O14" s="10"/>
      <c r="P14" s="10"/>
      <c r="Q14" s="19"/>
    </row>
    <row r="15" customFormat="false" ht="15" hidden="false" customHeight="false" outlineLevel="0" collapsed="false">
      <c r="A15" s="31" t="s">
        <v>402</v>
      </c>
      <c r="B15" s="37"/>
      <c r="C15" s="20"/>
      <c r="D15" s="10"/>
      <c r="E15" s="10"/>
      <c r="F15" s="19"/>
      <c r="G15" s="19"/>
      <c r="H15" s="19"/>
      <c r="I15" s="38"/>
      <c r="J15" s="38"/>
      <c r="K15" s="38"/>
      <c r="L15" s="38"/>
      <c r="M15" s="31" t="str">
        <f aca="false">IF(COUNTA(I15:L15)=0,"",N(I15)+N(J15)+N(K15)+N(L15))</f>
        <v/>
      </c>
      <c r="N15" s="31" t="str">
        <f aca="false">IF(M15="","",CHOOSE(M15+1,"★","★★","★★★","★★★★","★★★★★"))</f>
        <v/>
      </c>
      <c r="O15" s="10"/>
      <c r="P15" s="10"/>
      <c r="Q15" s="19"/>
    </row>
    <row r="16" customFormat="false" ht="15" hidden="false" customHeight="false" outlineLevel="0" collapsed="false">
      <c r="A16" s="31" t="s">
        <v>403</v>
      </c>
      <c r="B16" s="37"/>
      <c r="C16" s="20"/>
      <c r="D16" s="10"/>
      <c r="E16" s="10"/>
      <c r="F16" s="19"/>
      <c r="G16" s="19"/>
      <c r="H16" s="19"/>
      <c r="I16" s="38"/>
      <c r="J16" s="38"/>
      <c r="K16" s="38"/>
      <c r="L16" s="38"/>
      <c r="M16" s="31" t="str">
        <f aca="false">IF(COUNTA(I16:L16)=0,"",N(I16)+N(J16)+N(K16)+N(L16))</f>
        <v/>
      </c>
      <c r="N16" s="31" t="str">
        <f aca="false">IF(M16="","",CHOOSE(M16+1,"★","★★","★★★","★★★★","★★★★★"))</f>
        <v/>
      </c>
      <c r="O16" s="10"/>
      <c r="P16" s="10"/>
      <c r="Q16" s="19"/>
    </row>
    <row r="17" customFormat="false" ht="15" hidden="false" customHeight="false" outlineLevel="0" collapsed="false">
      <c r="A17" s="31" t="s">
        <v>404</v>
      </c>
      <c r="B17" s="37"/>
      <c r="C17" s="20"/>
      <c r="D17" s="10"/>
      <c r="E17" s="10"/>
      <c r="F17" s="19"/>
      <c r="G17" s="19"/>
      <c r="H17" s="19"/>
      <c r="I17" s="38"/>
      <c r="J17" s="38"/>
      <c r="K17" s="38"/>
      <c r="L17" s="38"/>
      <c r="M17" s="31" t="str">
        <f aca="false">IF(COUNTA(I17:L17)=0,"",N(I17)+N(J17)+N(K17)+N(L17))</f>
        <v/>
      </c>
      <c r="N17" s="31" t="str">
        <f aca="false">IF(M17="","",CHOOSE(M17+1,"★","★★","★★★","★★★★","★★★★★"))</f>
        <v/>
      </c>
      <c r="O17" s="10"/>
      <c r="P17" s="10"/>
      <c r="Q17" s="19"/>
    </row>
    <row r="18" customFormat="false" ht="15" hidden="false" customHeight="false" outlineLevel="0" collapsed="false">
      <c r="A18" s="31" t="s">
        <v>405</v>
      </c>
      <c r="B18" s="37"/>
      <c r="C18" s="20"/>
      <c r="D18" s="10"/>
      <c r="E18" s="10"/>
      <c r="F18" s="19"/>
      <c r="G18" s="19"/>
      <c r="H18" s="19"/>
      <c r="I18" s="38"/>
      <c r="J18" s="38"/>
      <c r="K18" s="38"/>
      <c r="L18" s="38"/>
      <c r="M18" s="31" t="str">
        <f aca="false">IF(COUNTA(I18:L18)=0,"",N(I18)+N(J18)+N(K18)+N(L18))</f>
        <v/>
      </c>
      <c r="N18" s="31" t="str">
        <f aca="false">IF(M18="","",CHOOSE(M18+1,"★","★★","★★★","★★★★","★★★★★"))</f>
        <v/>
      </c>
      <c r="O18" s="10"/>
      <c r="P18" s="10"/>
      <c r="Q18" s="19"/>
    </row>
    <row r="19" customFormat="false" ht="15" hidden="false" customHeight="false" outlineLevel="0" collapsed="false">
      <c r="A19" s="31" t="s">
        <v>406</v>
      </c>
      <c r="B19" s="37"/>
      <c r="C19" s="20"/>
      <c r="D19" s="10"/>
      <c r="E19" s="10"/>
      <c r="F19" s="19"/>
      <c r="G19" s="19"/>
      <c r="H19" s="19"/>
      <c r="I19" s="38"/>
      <c r="J19" s="38"/>
      <c r="K19" s="38"/>
      <c r="L19" s="38"/>
      <c r="M19" s="31" t="str">
        <f aca="false">IF(COUNTA(I19:L19)=0,"",N(I19)+N(J19)+N(K19)+N(L19))</f>
        <v/>
      </c>
      <c r="N19" s="31" t="str">
        <f aca="false">IF(M19="","",CHOOSE(M19+1,"★","★★","★★★","★★★★","★★★★★"))</f>
        <v/>
      </c>
      <c r="O19" s="10"/>
      <c r="P19" s="10"/>
      <c r="Q19" s="19"/>
    </row>
    <row r="20" customFormat="false" ht="15" hidden="false" customHeight="false" outlineLevel="0" collapsed="false">
      <c r="A20" s="31" t="s">
        <v>407</v>
      </c>
      <c r="B20" s="37"/>
      <c r="C20" s="20"/>
      <c r="D20" s="10"/>
      <c r="E20" s="10"/>
      <c r="F20" s="19"/>
      <c r="G20" s="19"/>
      <c r="H20" s="19"/>
      <c r="I20" s="38"/>
      <c r="J20" s="38"/>
      <c r="K20" s="38"/>
      <c r="L20" s="38"/>
      <c r="M20" s="31" t="str">
        <f aca="false">IF(COUNTA(I20:L20)=0,"",N(I20)+N(J20)+N(K20)+N(L20))</f>
        <v/>
      </c>
      <c r="N20" s="31" t="str">
        <f aca="false">IF(M20="","",CHOOSE(M20+1,"★","★★","★★★","★★★★","★★★★★"))</f>
        <v/>
      </c>
      <c r="O20" s="10"/>
      <c r="P20" s="10"/>
      <c r="Q20" s="19"/>
    </row>
    <row r="21" customFormat="false" ht="15" hidden="false" customHeight="false" outlineLevel="0" collapsed="false">
      <c r="A21" s="31" t="s">
        <v>408</v>
      </c>
      <c r="B21" s="37"/>
      <c r="C21" s="20"/>
      <c r="D21" s="10"/>
      <c r="E21" s="10"/>
      <c r="F21" s="19"/>
      <c r="G21" s="19"/>
      <c r="H21" s="19"/>
      <c r="I21" s="38"/>
      <c r="J21" s="38"/>
      <c r="K21" s="38"/>
      <c r="L21" s="38"/>
      <c r="M21" s="31" t="str">
        <f aca="false">IF(COUNTA(I21:L21)=0,"",N(I21)+N(J21)+N(K21)+N(L21))</f>
        <v/>
      </c>
      <c r="N21" s="31" t="str">
        <f aca="false">IF(M21="","",CHOOSE(M21+1,"★","★★","★★★","★★★★","★★★★★"))</f>
        <v/>
      </c>
      <c r="O21" s="10"/>
      <c r="P21" s="10"/>
      <c r="Q21" s="19"/>
    </row>
    <row r="22" customFormat="false" ht="15" hidden="false" customHeight="false" outlineLevel="0" collapsed="false">
      <c r="A22" s="31" t="s">
        <v>409</v>
      </c>
      <c r="B22" s="37"/>
      <c r="C22" s="20"/>
      <c r="D22" s="10"/>
      <c r="E22" s="10"/>
      <c r="F22" s="19"/>
      <c r="G22" s="19"/>
      <c r="H22" s="19"/>
      <c r="I22" s="38"/>
      <c r="J22" s="38"/>
      <c r="K22" s="38"/>
      <c r="L22" s="38"/>
      <c r="M22" s="31" t="str">
        <f aca="false">IF(COUNTA(I22:L22)=0,"",N(I22)+N(J22)+N(K22)+N(L22))</f>
        <v/>
      </c>
      <c r="N22" s="31" t="str">
        <f aca="false">IF(M22="","",CHOOSE(M22+1,"★","★★","★★★","★★★★","★★★★★"))</f>
        <v/>
      </c>
      <c r="O22" s="10"/>
      <c r="P22" s="10"/>
      <c r="Q22" s="19"/>
    </row>
    <row r="23" customFormat="false" ht="15" hidden="false" customHeight="false" outlineLevel="0" collapsed="false">
      <c r="A23" s="31" t="s">
        <v>410</v>
      </c>
      <c r="B23" s="37"/>
      <c r="C23" s="20"/>
      <c r="D23" s="10"/>
      <c r="E23" s="10"/>
      <c r="F23" s="19"/>
      <c r="G23" s="19"/>
      <c r="H23" s="19"/>
      <c r="I23" s="38"/>
      <c r="J23" s="38"/>
      <c r="K23" s="38"/>
      <c r="L23" s="38"/>
      <c r="M23" s="31" t="str">
        <f aca="false">IF(COUNTA(I23:L23)=0,"",N(I23)+N(J23)+N(K23)+N(L23))</f>
        <v/>
      </c>
      <c r="N23" s="31" t="str">
        <f aca="false">IF(M23="","",CHOOSE(M23+1,"★","★★","★★★","★★★★","★★★★★"))</f>
        <v/>
      </c>
      <c r="O23" s="10"/>
      <c r="P23" s="10"/>
      <c r="Q23" s="19"/>
    </row>
    <row r="24" customFormat="false" ht="15" hidden="false" customHeight="false" outlineLevel="0" collapsed="false">
      <c r="A24" s="31" t="s">
        <v>411</v>
      </c>
      <c r="B24" s="37"/>
      <c r="C24" s="20"/>
      <c r="D24" s="10"/>
      <c r="E24" s="10"/>
      <c r="F24" s="19"/>
      <c r="G24" s="19"/>
      <c r="H24" s="19"/>
      <c r="I24" s="38"/>
      <c r="J24" s="38"/>
      <c r="K24" s="38"/>
      <c r="L24" s="38"/>
      <c r="M24" s="31" t="str">
        <f aca="false">IF(COUNTA(I24:L24)=0,"",N(I24)+N(J24)+N(K24)+N(L24))</f>
        <v/>
      </c>
      <c r="N24" s="31" t="str">
        <f aca="false">IF(M24="","",CHOOSE(M24+1,"★","★★","★★★","★★★★","★★★★★"))</f>
        <v/>
      </c>
      <c r="O24" s="10"/>
      <c r="P24" s="10"/>
      <c r="Q24" s="19"/>
    </row>
    <row r="25" customFormat="false" ht="15" hidden="false" customHeight="false" outlineLevel="0" collapsed="false">
      <c r="A25" s="31" t="s">
        <v>412</v>
      </c>
      <c r="B25" s="37"/>
      <c r="C25" s="20"/>
      <c r="D25" s="10"/>
      <c r="E25" s="10"/>
      <c r="F25" s="19"/>
      <c r="G25" s="19"/>
      <c r="H25" s="19"/>
      <c r="I25" s="38"/>
      <c r="J25" s="38"/>
      <c r="K25" s="38"/>
      <c r="L25" s="38"/>
      <c r="M25" s="31" t="str">
        <f aca="false">IF(COUNTA(I25:L25)=0,"",N(I25)+N(J25)+N(K25)+N(L25))</f>
        <v/>
      </c>
      <c r="N25" s="31" t="str">
        <f aca="false">IF(M25="","",CHOOSE(M25+1,"★","★★","★★★","★★★★","★★★★★"))</f>
        <v/>
      </c>
      <c r="O25" s="10"/>
      <c r="P25" s="10"/>
      <c r="Q25" s="19"/>
    </row>
    <row r="26" customFormat="false" ht="15" hidden="false" customHeight="false" outlineLevel="0" collapsed="false">
      <c r="A26" s="31" t="s">
        <v>413</v>
      </c>
      <c r="B26" s="37"/>
      <c r="C26" s="20"/>
      <c r="D26" s="10"/>
      <c r="E26" s="10"/>
      <c r="F26" s="19"/>
      <c r="G26" s="19"/>
      <c r="H26" s="19"/>
      <c r="I26" s="38"/>
      <c r="J26" s="38"/>
      <c r="K26" s="38"/>
      <c r="L26" s="38"/>
      <c r="M26" s="31" t="str">
        <f aca="false">IF(COUNTA(I26:L26)=0,"",N(I26)+N(J26)+N(K26)+N(L26))</f>
        <v/>
      </c>
      <c r="N26" s="31" t="str">
        <f aca="false">IF(M26="","",CHOOSE(M26+1,"★","★★","★★★","★★★★","★★★★★"))</f>
        <v/>
      </c>
      <c r="O26" s="10"/>
      <c r="P26" s="10"/>
      <c r="Q26" s="19"/>
    </row>
    <row r="27" customFormat="false" ht="15" hidden="false" customHeight="false" outlineLevel="0" collapsed="false">
      <c r="A27" s="31" t="s">
        <v>414</v>
      </c>
      <c r="B27" s="37"/>
      <c r="C27" s="20"/>
      <c r="D27" s="10"/>
      <c r="E27" s="10"/>
      <c r="F27" s="19"/>
      <c r="G27" s="19"/>
      <c r="H27" s="19"/>
      <c r="I27" s="38"/>
      <c r="J27" s="38"/>
      <c r="K27" s="38"/>
      <c r="L27" s="38"/>
      <c r="M27" s="31" t="str">
        <f aca="false">IF(COUNTA(I27:L27)=0,"",N(I27)+N(J27)+N(K27)+N(L27))</f>
        <v/>
      </c>
      <c r="N27" s="31" t="str">
        <f aca="false">IF(M27="","",CHOOSE(M27+1,"★","★★","★★★","★★★★","★★★★★"))</f>
        <v/>
      </c>
      <c r="O27" s="10"/>
      <c r="P27" s="10"/>
      <c r="Q27" s="19"/>
    </row>
    <row r="28" customFormat="false" ht="15" hidden="false" customHeight="false" outlineLevel="0" collapsed="false">
      <c r="A28" s="31" t="s">
        <v>415</v>
      </c>
      <c r="B28" s="37"/>
      <c r="C28" s="20"/>
      <c r="D28" s="10"/>
      <c r="E28" s="10"/>
      <c r="F28" s="19"/>
      <c r="G28" s="19"/>
      <c r="H28" s="19"/>
      <c r="I28" s="38"/>
      <c r="J28" s="38"/>
      <c r="K28" s="38"/>
      <c r="L28" s="38"/>
      <c r="M28" s="31" t="str">
        <f aca="false">IF(COUNTA(I28:L28)=0,"",N(I28)+N(J28)+N(K28)+N(L28))</f>
        <v/>
      </c>
      <c r="N28" s="31" t="str">
        <f aca="false">IF(M28="","",CHOOSE(M28+1,"★","★★","★★★","★★★★","★★★★★"))</f>
        <v/>
      </c>
      <c r="O28" s="10"/>
      <c r="P28" s="10"/>
      <c r="Q28" s="19"/>
    </row>
    <row r="29" customFormat="false" ht="15" hidden="false" customHeight="false" outlineLevel="0" collapsed="false">
      <c r="A29" s="31" t="s">
        <v>416</v>
      </c>
      <c r="B29" s="37"/>
      <c r="C29" s="20"/>
      <c r="D29" s="10"/>
      <c r="E29" s="10"/>
      <c r="F29" s="19"/>
      <c r="G29" s="19"/>
      <c r="H29" s="19"/>
      <c r="I29" s="38"/>
      <c r="J29" s="38"/>
      <c r="K29" s="38"/>
      <c r="L29" s="38"/>
      <c r="M29" s="31" t="str">
        <f aca="false">IF(COUNTA(I29:L29)=0,"",N(I29)+N(J29)+N(K29)+N(L29))</f>
        <v/>
      </c>
      <c r="N29" s="31" t="str">
        <f aca="false">IF(M29="","",CHOOSE(M29+1,"★","★★","★★★","★★★★","★★★★★"))</f>
        <v/>
      </c>
      <c r="O29" s="10"/>
      <c r="P29" s="10"/>
      <c r="Q29" s="19"/>
    </row>
    <row r="30" customFormat="false" ht="15" hidden="false" customHeight="false" outlineLevel="0" collapsed="false">
      <c r="A30" s="31" t="s">
        <v>417</v>
      </c>
      <c r="B30" s="37"/>
      <c r="C30" s="20"/>
      <c r="D30" s="10"/>
      <c r="E30" s="10"/>
      <c r="F30" s="19"/>
      <c r="G30" s="19"/>
      <c r="H30" s="19"/>
      <c r="I30" s="38"/>
      <c r="J30" s="38"/>
      <c r="K30" s="38"/>
      <c r="L30" s="38"/>
      <c r="M30" s="31" t="str">
        <f aca="false">IF(COUNTA(I30:L30)=0,"",N(I30)+N(J30)+N(K30)+N(L30))</f>
        <v/>
      </c>
      <c r="N30" s="31" t="str">
        <f aca="false">IF(M30="","",CHOOSE(M30+1,"★","★★","★★★","★★★★","★★★★★"))</f>
        <v/>
      </c>
      <c r="O30" s="10"/>
      <c r="P30" s="10"/>
      <c r="Q30" s="19"/>
    </row>
    <row r="31" customFormat="false" ht="15" hidden="false" customHeight="false" outlineLevel="0" collapsed="false">
      <c r="A31" s="31" t="s">
        <v>418</v>
      </c>
      <c r="B31" s="37"/>
      <c r="C31" s="20"/>
      <c r="D31" s="10"/>
      <c r="E31" s="10"/>
      <c r="F31" s="19"/>
      <c r="G31" s="19"/>
      <c r="H31" s="19"/>
      <c r="I31" s="38"/>
      <c r="J31" s="38"/>
      <c r="K31" s="38"/>
      <c r="L31" s="38"/>
      <c r="M31" s="31" t="str">
        <f aca="false">IF(COUNTA(I31:L31)=0,"",N(I31)+N(J31)+N(K31)+N(L31))</f>
        <v/>
      </c>
      <c r="N31" s="31" t="str">
        <f aca="false">IF(M31="","",CHOOSE(M31+1,"★","★★","★★★","★★★★","★★★★★"))</f>
        <v/>
      </c>
      <c r="O31" s="10"/>
      <c r="P31" s="10"/>
      <c r="Q31" s="19"/>
    </row>
    <row r="32" customFormat="false" ht="15" hidden="false" customHeight="false" outlineLevel="0" collapsed="false">
      <c r="A32" s="31" t="s">
        <v>419</v>
      </c>
      <c r="B32" s="37"/>
      <c r="C32" s="20"/>
      <c r="D32" s="10"/>
      <c r="E32" s="10"/>
      <c r="F32" s="19"/>
      <c r="G32" s="19"/>
      <c r="H32" s="19"/>
      <c r="I32" s="38"/>
      <c r="J32" s="38"/>
      <c r="K32" s="38"/>
      <c r="L32" s="38"/>
      <c r="M32" s="31" t="str">
        <f aca="false">IF(COUNTA(I32:L32)=0,"",N(I32)+N(J32)+N(K32)+N(L32))</f>
        <v/>
      </c>
      <c r="N32" s="31" t="str">
        <f aca="false">IF(M32="","",CHOOSE(M32+1,"★","★★","★★★","★★★★","★★★★★"))</f>
        <v/>
      </c>
      <c r="O32" s="10"/>
      <c r="P32" s="10"/>
      <c r="Q32" s="19"/>
    </row>
    <row r="33" customFormat="false" ht="15" hidden="false" customHeight="false" outlineLevel="0" collapsed="false">
      <c r="A33" s="31" t="s">
        <v>420</v>
      </c>
      <c r="B33" s="37"/>
      <c r="C33" s="20"/>
      <c r="D33" s="10"/>
      <c r="E33" s="10"/>
      <c r="F33" s="19"/>
      <c r="G33" s="19"/>
      <c r="H33" s="19"/>
      <c r="I33" s="38"/>
      <c r="J33" s="38"/>
      <c r="K33" s="38"/>
      <c r="L33" s="38"/>
      <c r="M33" s="31" t="str">
        <f aca="false">IF(COUNTA(I33:L33)=0,"",N(I33)+N(J33)+N(K33)+N(L33))</f>
        <v/>
      </c>
      <c r="N33" s="31" t="str">
        <f aca="false">IF(M33="","",CHOOSE(M33+1,"★","★★","★★★","★★★★","★★★★★"))</f>
        <v/>
      </c>
      <c r="O33" s="10"/>
      <c r="P33" s="10"/>
      <c r="Q33" s="19"/>
    </row>
    <row r="34" customFormat="false" ht="15" hidden="false" customHeight="false" outlineLevel="0" collapsed="false">
      <c r="A34" s="31" t="s">
        <v>421</v>
      </c>
      <c r="B34" s="37"/>
      <c r="C34" s="20"/>
      <c r="D34" s="10"/>
      <c r="E34" s="10"/>
      <c r="F34" s="19"/>
      <c r="G34" s="19"/>
      <c r="H34" s="19"/>
      <c r="I34" s="38"/>
      <c r="J34" s="38"/>
      <c r="K34" s="38"/>
      <c r="L34" s="38"/>
      <c r="M34" s="31" t="str">
        <f aca="false">IF(COUNTA(I34:L34)=0,"",N(I34)+N(J34)+N(K34)+N(L34))</f>
        <v/>
      </c>
      <c r="N34" s="31" t="str">
        <f aca="false">IF(M34="","",CHOOSE(M34+1,"★","★★","★★★","★★★★","★★★★★"))</f>
        <v/>
      </c>
      <c r="O34" s="10"/>
      <c r="P34" s="10"/>
      <c r="Q34" s="19"/>
    </row>
    <row r="35" customFormat="false" ht="15" hidden="false" customHeight="false" outlineLevel="0" collapsed="false">
      <c r="A35" s="31" t="s">
        <v>422</v>
      </c>
      <c r="B35" s="37"/>
      <c r="C35" s="20"/>
      <c r="D35" s="10"/>
      <c r="E35" s="10"/>
      <c r="F35" s="19"/>
      <c r="G35" s="19"/>
      <c r="H35" s="19"/>
      <c r="I35" s="38"/>
      <c r="J35" s="38"/>
      <c r="K35" s="38"/>
      <c r="L35" s="38"/>
      <c r="M35" s="31" t="str">
        <f aca="false">IF(COUNTA(I35:L35)=0,"",N(I35)+N(J35)+N(K35)+N(L35))</f>
        <v/>
      </c>
      <c r="N35" s="31" t="str">
        <f aca="false">IF(M35="","",CHOOSE(M35+1,"★","★★","★★★","★★★★","★★★★★"))</f>
        <v/>
      </c>
      <c r="O35" s="10"/>
      <c r="P35" s="10"/>
      <c r="Q35" s="19"/>
    </row>
    <row r="36" customFormat="false" ht="15" hidden="false" customHeight="false" outlineLevel="0" collapsed="false">
      <c r="A36" s="31" t="s">
        <v>423</v>
      </c>
      <c r="B36" s="37"/>
      <c r="C36" s="20"/>
      <c r="D36" s="10"/>
      <c r="E36" s="10"/>
      <c r="F36" s="19"/>
      <c r="G36" s="19"/>
      <c r="H36" s="19"/>
      <c r="I36" s="38"/>
      <c r="J36" s="38"/>
      <c r="K36" s="38"/>
      <c r="L36" s="38"/>
      <c r="M36" s="31" t="str">
        <f aca="false">IF(COUNTA(I36:L36)=0,"",N(I36)+N(J36)+N(K36)+N(L36))</f>
        <v/>
      </c>
      <c r="N36" s="31" t="str">
        <f aca="false">IF(M36="","",CHOOSE(M36+1,"★","★★","★★★","★★★★","★★★★★"))</f>
        <v/>
      </c>
      <c r="O36" s="10"/>
      <c r="P36" s="10"/>
      <c r="Q36" s="19"/>
    </row>
    <row r="37" customFormat="false" ht="15" hidden="false" customHeight="false" outlineLevel="0" collapsed="false">
      <c r="A37" s="31" t="s">
        <v>424</v>
      </c>
      <c r="B37" s="37"/>
      <c r="C37" s="20"/>
      <c r="D37" s="10"/>
      <c r="E37" s="10"/>
      <c r="F37" s="19"/>
      <c r="G37" s="19"/>
      <c r="H37" s="19"/>
      <c r="I37" s="38"/>
      <c r="J37" s="38"/>
      <c r="K37" s="38"/>
      <c r="L37" s="38"/>
      <c r="M37" s="31" t="str">
        <f aca="false">IF(COUNTA(I37:L37)=0,"",N(I37)+N(J37)+N(K37)+N(L37))</f>
        <v/>
      </c>
      <c r="N37" s="31" t="str">
        <f aca="false">IF(M37="","",CHOOSE(M37+1,"★","★★","★★★","★★★★","★★★★★"))</f>
        <v/>
      </c>
      <c r="O37" s="10"/>
      <c r="P37" s="10"/>
      <c r="Q37" s="19"/>
    </row>
    <row r="38" customFormat="false" ht="15" hidden="false" customHeight="false" outlineLevel="0" collapsed="false">
      <c r="A38" s="31" t="s">
        <v>425</v>
      </c>
      <c r="B38" s="37"/>
      <c r="C38" s="20"/>
      <c r="D38" s="10"/>
      <c r="E38" s="10"/>
      <c r="F38" s="19"/>
      <c r="G38" s="19"/>
      <c r="H38" s="19"/>
      <c r="I38" s="38"/>
      <c r="J38" s="38"/>
      <c r="K38" s="38"/>
      <c r="L38" s="38"/>
      <c r="M38" s="31" t="str">
        <f aca="false">IF(COUNTA(I38:L38)=0,"",N(I38)+N(J38)+N(K38)+N(L38))</f>
        <v/>
      </c>
      <c r="N38" s="31" t="str">
        <f aca="false">IF(M38="","",CHOOSE(M38+1,"★","★★","★★★","★★★★","★★★★★"))</f>
        <v/>
      </c>
      <c r="O38" s="10"/>
      <c r="P38" s="10"/>
      <c r="Q38" s="19"/>
    </row>
    <row r="39" customFormat="false" ht="15" hidden="false" customHeight="false" outlineLevel="0" collapsed="false">
      <c r="A39" s="31" t="s">
        <v>426</v>
      </c>
      <c r="B39" s="37"/>
      <c r="C39" s="20"/>
      <c r="D39" s="10"/>
      <c r="E39" s="10"/>
      <c r="F39" s="19"/>
      <c r="G39" s="19"/>
      <c r="H39" s="19"/>
      <c r="I39" s="38"/>
      <c r="J39" s="38"/>
      <c r="K39" s="38"/>
      <c r="L39" s="38"/>
      <c r="M39" s="31" t="str">
        <f aca="false">IF(COUNTA(I39:L39)=0,"",N(I39)+N(J39)+N(K39)+N(L39))</f>
        <v/>
      </c>
      <c r="N39" s="31" t="str">
        <f aca="false">IF(M39="","",CHOOSE(M39+1,"★","★★","★★★","★★★★","★★★★★"))</f>
        <v/>
      </c>
      <c r="O39" s="10"/>
      <c r="P39" s="10"/>
      <c r="Q39" s="19"/>
    </row>
    <row r="40" customFormat="false" ht="15" hidden="false" customHeight="false" outlineLevel="0" collapsed="false">
      <c r="A40" s="31" t="s">
        <v>427</v>
      </c>
      <c r="B40" s="37"/>
      <c r="C40" s="20"/>
      <c r="D40" s="10"/>
      <c r="E40" s="10"/>
      <c r="F40" s="19"/>
      <c r="G40" s="19"/>
      <c r="H40" s="19"/>
      <c r="I40" s="38"/>
      <c r="J40" s="38"/>
      <c r="K40" s="38"/>
      <c r="L40" s="38"/>
      <c r="M40" s="31" t="str">
        <f aca="false">IF(COUNTA(I40:L40)=0,"",N(I40)+N(J40)+N(K40)+N(L40))</f>
        <v/>
      </c>
      <c r="N40" s="31" t="str">
        <f aca="false">IF(M40="","",CHOOSE(M40+1,"★","★★","★★★","★★★★","★★★★★"))</f>
        <v/>
      </c>
      <c r="O40" s="10"/>
      <c r="P40" s="10"/>
      <c r="Q40" s="19"/>
    </row>
    <row r="41" customFormat="false" ht="15" hidden="false" customHeight="false" outlineLevel="0" collapsed="false">
      <c r="A41" s="31" t="s">
        <v>428</v>
      </c>
      <c r="B41" s="37"/>
      <c r="C41" s="20"/>
      <c r="D41" s="10"/>
      <c r="E41" s="10"/>
      <c r="F41" s="19"/>
      <c r="G41" s="19"/>
      <c r="H41" s="19"/>
      <c r="I41" s="38"/>
      <c r="J41" s="38"/>
      <c r="K41" s="38"/>
      <c r="L41" s="38"/>
      <c r="M41" s="31" t="str">
        <f aca="false">IF(COUNTA(I41:L41)=0,"",N(I41)+N(J41)+N(K41)+N(L41))</f>
        <v/>
      </c>
      <c r="N41" s="31" t="str">
        <f aca="false">IF(M41="","",CHOOSE(M41+1,"★","★★","★★★","★★★★","★★★★★"))</f>
        <v/>
      </c>
      <c r="O41" s="10"/>
      <c r="P41" s="10"/>
      <c r="Q41" s="19"/>
    </row>
    <row r="42" customFormat="false" ht="15" hidden="false" customHeight="false" outlineLevel="0" collapsed="false">
      <c r="A42" s="31" t="s">
        <v>429</v>
      </c>
      <c r="B42" s="37"/>
      <c r="C42" s="20"/>
      <c r="D42" s="10"/>
      <c r="E42" s="10"/>
      <c r="F42" s="19"/>
      <c r="G42" s="19"/>
      <c r="H42" s="19"/>
      <c r="I42" s="38"/>
      <c r="J42" s="38"/>
      <c r="K42" s="38"/>
      <c r="L42" s="38"/>
      <c r="M42" s="31" t="str">
        <f aca="false">IF(COUNTA(I42:L42)=0,"",N(I42)+N(J42)+N(K42)+N(L42))</f>
        <v/>
      </c>
      <c r="N42" s="31" t="str">
        <f aca="false">IF(M42="","",CHOOSE(M42+1,"★","★★","★★★","★★★★","★★★★★"))</f>
        <v/>
      </c>
      <c r="O42" s="10"/>
      <c r="P42" s="10"/>
      <c r="Q42" s="19"/>
    </row>
    <row r="43" customFormat="false" ht="15" hidden="false" customHeight="false" outlineLevel="0" collapsed="false">
      <c r="A43" s="31" t="s">
        <v>430</v>
      </c>
      <c r="B43" s="37"/>
      <c r="C43" s="20"/>
      <c r="D43" s="10"/>
      <c r="E43" s="10"/>
      <c r="F43" s="19"/>
      <c r="G43" s="19"/>
      <c r="H43" s="19"/>
      <c r="I43" s="38"/>
      <c r="J43" s="38"/>
      <c r="K43" s="38"/>
      <c r="L43" s="38"/>
      <c r="M43" s="31" t="str">
        <f aca="false">IF(COUNTA(I43:L43)=0,"",N(I43)+N(J43)+N(K43)+N(L43))</f>
        <v/>
      </c>
      <c r="N43" s="31" t="str">
        <f aca="false">IF(M43="","",CHOOSE(M43+1,"★","★★","★★★","★★★★","★★★★★"))</f>
        <v/>
      </c>
      <c r="O43" s="10"/>
      <c r="P43" s="10"/>
      <c r="Q43" s="19"/>
    </row>
    <row r="44" customFormat="false" ht="15" hidden="false" customHeight="false" outlineLevel="0" collapsed="false">
      <c r="A44" s="31" t="s">
        <v>431</v>
      </c>
      <c r="B44" s="37"/>
      <c r="C44" s="20"/>
      <c r="D44" s="10"/>
      <c r="E44" s="10"/>
      <c r="F44" s="19"/>
      <c r="G44" s="19"/>
      <c r="H44" s="19"/>
      <c r="I44" s="38"/>
      <c r="J44" s="38"/>
      <c r="K44" s="38"/>
      <c r="L44" s="38"/>
      <c r="M44" s="31" t="str">
        <f aca="false">IF(COUNTA(I44:L44)=0,"",N(I44)+N(J44)+N(K44)+N(L44))</f>
        <v/>
      </c>
      <c r="N44" s="31" t="str">
        <f aca="false">IF(M44="","",CHOOSE(M44+1,"★","★★","★★★","★★★★","★★★★★"))</f>
        <v/>
      </c>
      <c r="O44" s="10"/>
      <c r="P44" s="10"/>
      <c r="Q44" s="19"/>
    </row>
    <row r="45" customFormat="false" ht="15" hidden="false" customHeight="false" outlineLevel="0" collapsed="false">
      <c r="A45" s="31" t="s">
        <v>432</v>
      </c>
      <c r="B45" s="37"/>
      <c r="C45" s="20"/>
      <c r="D45" s="10"/>
      <c r="E45" s="10"/>
      <c r="F45" s="19"/>
      <c r="G45" s="19"/>
      <c r="H45" s="19"/>
      <c r="I45" s="38"/>
      <c r="J45" s="38"/>
      <c r="K45" s="38"/>
      <c r="L45" s="38"/>
      <c r="M45" s="31" t="str">
        <f aca="false">IF(COUNTA(I45:L45)=0,"",N(I45)+N(J45)+N(K45)+N(L45))</f>
        <v/>
      </c>
      <c r="N45" s="31" t="str">
        <f aca="false">IF(M45="","",CHOOSE(M45+1,"★","★★","★★★","★★★★","★★★★★"))</f>
        <v/>
      </c>
      <c r="O45" s="10"/>
      <c r="P45" s="10"/>
      <c r="Q45" s="19"/>
    </row>
    <row r="46" customFormat="false" ht="15" hidden="false" customHeight="false" outlineLevel="0" collapsed="false">
      <c r="A46" s="31" t="s">
        <v>433</v>
      </c>
      <c r="B46" s="37"/>
      <c r="C46" s="20"/>
      <c r="D46" s="10"/>
      <c r="E46" s="10"/>
      <c r="F46" s="19"/>
      <c r="G46" s="19"/>
      <c r="H46" s="19"/>
      <c r="I46" s="38"/>
      <c r="J46" s="38"/>
      <c r="K46" s="38"/>
      <c r="L46" s="38"/>
      <c r="M46" s="31" t="str">
        <f aca="false">IF(COUNTA(I46:L46)=0,"",N(I46)+N(J46)+N(K46)+N(L46))</f>
        <v/>
      </c>
      <c r="N46" s="31" t="str">
        <f aca="false">IF(M46="","",CHOOSE(M46+1,"★","★★","★★★","★★★★","★★★★★"))</f>
        <v/>
      </c>
      <c r="O46" s="10"/>
      <c r="P46" s="10"/>
      <c r="Q46" s="19"/>
    </row>
    <row r="47" customFormat="false" ht="15" hidden="false" customHeight="false" outlineLevel="0" collapsed="false">
      <c r="A47" s="31" t="s">
        <v>434</v>
      </c>
      <c r="B47" s="37"/>
      <c r="C47" s="20"/>
      <c r="D47" s="10"/>
      <c r="E47" s="10"/>
      <c r="F47" s="19"/>
      <c r="G47" s="19"/>
      <c r="H47" s="19"/>
      <c r="I47" s="38"/>
      <c r="J47" s="38"/>
      <c r="K47" s="38"/>
      <c r="L47" s="38"/>
      <c r="M47" s="31" t="str">
        <f aca="false">IF(COUNTA(I47:L47)=0,"",N(I47)+N(J47)+N(K47)+N(L47))</f>
        <v/>
      </c>
      <c r="N47" s="31" t="str">
        <f aca="false">IF(M47="","",CHOOSE(M47+1,"★","★★","★★★","★★★★","★★★★★"))</f>
        <v/>
      </c>
      <c r="O47" s="10"/>
      <c r="P47" s="10"/>
      <c r="Q47" s="19"/>
    </row>
    <row r="48" customFormat="false" ht="15" hidden="false" customHeight="false" outlineLevel="0" collapsed="false">
      <c r="A48" s="31" t="s">
        <v>435</v>
      </c>
      <c r="B48" s="37"/>
      <c r="C48" s="20"/>
      <c r="D48" s="10"/>
      <c r="E48" s="10"/>
      <c r="F48" s="19"/>
      <c r="G48" s="19"/>
      <c r="H48" s="19"/>
      <c r="I48" s="38"/>
      <c r="J48" s="38"/>
      <c r="K48" s="38"/>
      <c r="L48" s="38"/>
      <c r="M48" s="31" t="str">
        <f aca="false">IF(COUNTA(I48:L48)=0,"",N(I48)+N(J48)+N(K48)+N(L48))</f>
        <v/>
      </c>
      <c r="N48" s="31" t="str">
        <f aca="false">IF(M48="","",CHOOSE(M48+1,"★","★★","★★★","★★★★","★★★★★"))</f>
        <v/>
      </c>
      <c r="O48" s="10"/>
      <c r="P48" s="10"/>
      <c r="Q48" s="19"/>
    </row>
    <row r="49" customFormat="false" ht="15" hidden="false" customHeight="false" outlineLevel="0" collapsed="false">
      <c r="A49" s="31" t="s">
        <v>436</v>
      </c>
      <c r="B49" s="37"/>
      <c r="C49" s="20"/>
      <c r="D49" s="10"/>
      <c r="E49" s="10"/>
      <c r="F49" s="19"/>
      <c r="G49" s="19"/>
      <c r="H49" s="19"/>
      <c r="I49" s="38"/>
      <c r="J49" s="38"/>
      <c r="K49" s="38"/>
      <c r="L49" s="38"/>
      <c r="M49" s="31" t="str">
        <f aca="false">IF(COUNTA(I49:L49)=0,"",N(I49)+N(J49)+N(K49)+N(L49))</f>
        <v/>
      </c>
      <c r="N49" s="31" t="str">
        <f aca="false">IF(M49="","",CHOOSE(M49+1,"★","★★","★★★","★★★★","★★★★★"))</f>
        <v/>
      </c>
      <c r="O49" s="10"/>
      <c r="P49" s="10"/>
      <c r="Q49" s="19"/>
    </row>
    <row r="50" customFormat="false" ht="15" hidden="false" customHeight="false" outlineLevel="0" collapsed="false">
      <c r="A50" s="31" t="s">
        <v>437</v>
      </c>
      <c r="B50" s="37"/>
      <c r="C50" s="20"/>
      <c r="D50" s="10"/>
      <c r="E50" s="10"/>
      <c r="F50" s="19"/>
      <c r="G50" s="19"/>
      <c r="H50" s="19"/>
      <c r="I50" s="38"/>
      <c r="J50" s="38"/>
      <c r="K50" s="38"/>
      <c r="L50" s="38"/>
      <c r="M50" s="31" t="str">
        <f aca="false">IF(COUNTA(I50:L50)=0,"",N(I50)+N(J50)+N(K50)+N(L50))</f>
        <v/>
      </c>
      <c r="N50" s="31" t="str">
        <f aca="false">IF(M50="","",CHOOSE(M50+1,"★","★★","★★★","★★★★","★★★★★"))</f>
        <v/>
      </c>
      <c r="O50" s="10"/>
      <c r="P50" s="10"/>
      <c r="Q50" s="19"/>
    </row>
    <row r="51" customFormat="false" ht="15" hidden="false" customHeight="false" outlineLevel="0" collapsed="false">
      <c r="A51" s="31" t="s">
        <v>438</v>
      </c>
      <c r="B51" s="37"/>
      <c r="C51" s="20"/>
      <c r="D51" s="10"/>
      <c r="E51" s="10"/>
      <c r="F51" s="19"/>
      <c r="G51" s="19"/>
      <c r="H51" s="19"/>
      <c r="I51" s="38"/>
      <c r="J51" s="38"/>
      <c r="K51" s="38"/>
      <c r="L51" s="38"/>
      <c r="M51" s="31" t="str">
        <f aca="false">IF(COUNTA(I51:L51)=0,"",N(I51)+N(J51)+N(K51)+N(L51))</f>
        <v/>
      </c>
      <c r="N51" s="31" t="str">
        <f aca="false">IF(M51="","",CHOOSE(M51+1,"★","★★","★★★","★★★★","★★★★★"))</f>
        <v/>
      </c>
      <c r="O51" s="10"/>
      <c r="P51" s="10"/>
      <c r="Q51" s="19"/>
    </row>
    <row r="52" customFormat="false" ht="15" hidden="false" customHeight="false" outlineLevel="0" collapsed="false">
      <c r="A52" s="31" t="s">
        <v>439</v>
      </c>
      <c r="B52" s="37"/>
      <c r="C52" s="20"/>
      <c r="D52" s="10"/>
      <c r="E52" s="10"/>
      <c r="F52" s="19"/>
      <c r="G52" s="19"/>
      <c r="H52" s="19"/>
      <c r="I52" s="38"/>
      <c r="J52" s="38"/>
      <c r="K52" s="38"/>
      <c r="L52" s="38"/>
      <c r="M52" s="31" t="str">
        <f aca="false">IF(COUNTA(I52:L52)=0,"",N(I52)+N(J52)+N(K52)+N(L52))</f>
        <v/>
      </c>
      <c r="N52" s="31" t="str">
        <f aca="false">IF(M52="","",CHOOSE(M52+1,"★","★★","★★★","★★★★","★★★★★"))</f>
        <v/>
      </c>
      <c r="O52" s="10"/>
      <c r="P52" s="10"/>
      <c r="Q52" s="19"/>
    </row>
    <row r="53" customFormat="false" ht="15" hidden="false" customHeight="false" outlineLevel="0" collapsed="false">
      <c r="A53" s="31" t="s">
        <v>440</v>
      </c>
      <c r="B53" s="37"/>
      <c r="C53" s="20"/>
      <c r="D53" s="10"/>
      <c r="E53" s="10"/>
      <c r="F53" s="19"/>
      <c r="G53" s="19"/>
      <c r="H53" s="19"/>
      <c r="I53" s="38"/>
      <c r="J53" s="38"/>
      <c r="K53" s="38"/>
      <c r="L53" s="38"/>
      <c r="M53" s="31" t="str">
        <f aca="false">IF(COUNTA(I53:L53)=0,"",N(I53)+N(J53)+N(K53)+N(L53))</f>
        <v/>
      </c>
      <c r="N53" s="31" t="str">
        <f aca="false">IF(M53="","",CHOOSE(M53+1,"★","★★","★★★","★★★★","★★★★★"))</f>
        <v/>
      </c>
      <c r="O53" s="10"/>
      <c r="P53" s="10"/>
      <c r="Q53" s="19"/>
    </row>
    <row r="54" customFormat="false" ht="15" hidden="false" customHeight="false" outlineLevel="0" collapsed="false">
      <c r="A54" s="31" t="s">
        <v>441</v>
      </c>
      <c r="B54" s="37"/>
      <c r="C54" s="20"/>
      <c r="D54" s="10"/>
      <c r="E54" s="10"/>
      <c r="F54" s="19"/>
      <c r="G54" s="19"/>
      <c r="H54" s="19"/>
      <c r="I54" s="38"/>
      <c r="J54" s="38"/>
      <c r="K54" s="38"/>
      <c r="L54" s="38"/>
      <c r="M54" s="31" t="str">
        <f aca="false">IF(COUNTA(I54:L54)=0,"",N(I54)+N(J54)+N(K54)+N(L54))</f>
        <v/>
      </c>
      <c r="N54" s="31" t="str">
        <f aca="false">IF(M54="","",CHOOSE(M54+1,"★","★★","★★★","★★★★","★★★★★"))</f>
        <v/>
      </c>
      <c r="O54" s="10"/>
      <c r="P54" s="10"/>
      <c r="Q54" s="19"/>
    </row>
    <row r="55" customFormat="false" ht="15" hidden="false" customHeight="false" outlineLevel="0" collapsed="false">
      <c r="A55" s="31" t="s">
        <v>442</v>
      </c>
      <c r="B55" s="37"/>
      <c r="C55" s="20"/>
      <c r="D55" s="10"/>
      <c r="E55" s="10"/>
      <c r="F55" s="19"/>
      <c r="G55" s="19"/>
      <c r="H55" s="19"/>
      <c r="I55" s="38"/>
      <c r="J55" s="38"/>
      <c r="K55" s="38"/>
      <c r="L55" s="38"/>
      <c r="M55" s="31" t="str">
        <f aca="false">IF(COUNTA(I55:L55)=0,"",N(I55)+N(J55)+N(K55)+N(L55))</f>
        <v/>
      </c>
      <c r="N55" s="31" t="str">
        <f aca="false">IF(M55="","",CHOOSE(M55+1,"★","★★","★★★","★★★★","★★★★★"))</f>
        <v/>
      </c>
      <c r="O55" s="10"/>
      <c r="P55" s="10"/>
      <c r="Q55" s="19"/>
    </row>
    <row r="56" customFormat="false" ht="15" hidden="false" customHeight="false" outlineLevel="0" collapsed="false">
      <c r="A56" s="31" t="s">
        <v>443</v>
      </c>
      <c r="B56" s="37"/>
      <c r="C56" s="20"/>
      <c r="D56" s="10"/>
      <c r="E56" s="10"/>
      <c r="F56" s="19"/>
      <c r="G56" s="19"/>
      <c r="H56" s="19"/>
      <c r="I56" s="38"/>
      <c r="J56" s="38"/>
      <c r="K56" s="38"/>
      <c r="L56" s="38"/>
      <c r="M56" s="31" t="str">
        <f aca="false">IF(COUNTA(I56:L56)=0,"",N(I56)+N(J56)+N(K56)+N(L56))</f>
        <v/>
      </c>
      <c r="N56" s="31" t="str">
        <f aca="false">IF(M56="","",CHOOSE(M56+1,"★","★★","★★★","★★★★","★★★★★"))</f>
        <v/>
      </c>
      <c r="O56" s="10"/>
      <c r="P56" s="10"/>
      <c r="Q56" s="19"/>
    </row>
    <row r="57" customFormat="false" ht="15" hidden="false" customHeight="false" outlineLevel="0" collapsed="false">
      <c r="A57" s="31" t="s">
        <v>444</v>
      </c>
      <c r="B57" s="37"/>
      <c r="C57" s="20"/>
      <c r="D57" s="10"/>
      <c r="E57" s="10"/>
      <c r="F57" s="19"/>
      <c r="G57" s="19"/>
      <c r="H57" s="19"/>
      <c r="I57" s="38"/>
      <c r="J57" s="38"/>
      <c r="K57" s="38"/>
      <c r="L57" s="38"/>
      <c r="M57" s="31" t="str">
        <f aca="false">IF(COUNTA(I57:L57)=0,"",N(I57)+N(J57)+N(K57)+N(L57))</f>
        <v/>
      </c>
      <c r="N57" s="31" t="str">
        <f aca="false">IF(M57="","",CHOOSE(M57+1,"★","★★","★★★","★★★★","★★★★★"))</f>
        <v/>
      </c>
      <c r="O57" s="10"/>
      <c r="P57" s="10"/>
      <c r="Q57" s="19"/>
    </row>
    <row r="58" customFormat="false" ht="15" hidden="false" customHeight="false" outlineLevel="0" collapsed="false">
      <c r="A58" s="31" t="s">
        <v>445</v>
      </c>
      <c r="B58" s="37"/>
      <c r="C58" s="20"/>
      <c r="D58" s="10"/>
      <c r="E58" s="10"/>
      <c r="F58" s="19"/>
      <c r="G58" s="19"/>
      <c r="H58" s="19"/>
      <c r="I58" s="38"/>
      <c r="J58" s="38"/>
      <c r="K58" s="38"/>
      <c r="L58" s="38"/>
      <c r="M58" s="31" t="str">
        <f aca="false">IF(COUNTA(I58:L58)=0,"",N(I58)+N(J58)+N(K58)+N(L58))</f>
        <v/>
      </c>
      <c r="N58" s="31" t="str">
        <f aca="false">IF(M58="","",CHOOSE(M58+1,"★","★★","★★★","★★★★","★★★★★"))</f>
        <v/>
      </c>
      <c r="O58" s="10"/>
      <c r="P58" s="10"/>
      <c r="Q58" s="19"/>
    </row>
    <row r="59" customFormat="false" ht="15" hidden="false" customHeight="false" outlineLevel="0" collapsed="false">
      <c r="A59" s="31" t="s">
        <v>446</v>
      </c>
      <c r="B59" s="37"/>
      <c r="C59" s="20"/>
      <c r="D59" s="10"/>
      <c r="E59" s="10"/>
      <c r="F59" s="19"/>
      <c r="G59" s="19"/>
      <c r="H59" s="19"/>
      <c r="I59" s="38"/>
      <c r="J59" s="38"/>
      <c r="K59" s="38"/>
      <c r="L59" s="38"/>
      <c r="M59" s="31" t="str">
        <f aca="false">IF(COUNTA(I59:L59)=0,"",N(I59)+N(J59)+N(K59)+N(L59))</f>
        <v/>
      </c>
      <c r="N59" s="31" t="str">
        <f aca="false">IF(M59="","",CHOOSE(M59+1,"★","★★","★★★","★★★★","★★★★★"))</f>
        <v/>
      </c>
      <c r="O59" s="10"/>
      <c r="P59" s="10"/>
      <c r="Q59" s="19"/>
    </row>
    <row r="60" customFormat="false" ht="15" hidden="false" customHeight="false" outlineLevel="0" collapsed="false">
      <c r="A60" s="31" t="s">
        <v>447</v>
      </c>
      <c r="B60" s="37"/>
      <c r="C60" s="20"/>
      <c r="D60" s="10"/>
      <c r="E60" s="10"/>
      <c r="F60" s="19"/>
      <c r="G60" s="19"/>
      <c r="H60" s="19"/>
      <c r="I60" s="38"/>
      <c r="J60" s="38"/>
      <c r="K60" s="38"/>
      <c r="L60" s="38"/>
      <c r="M60" s="31" t="str">
        <f aca="false">IF(COUNTA(I60:L60)=0,"",N(I60)+N(J60)+N(K60)+N(L60))</f>
        <v/>
      </c>
      <c r="N60" s="31" t="str">
        <f aca="false">IF(M60="","",CHOOSE(M60+1,"★","★★","★★★","★★★★","★★★★★"))</f>
        <v/>
      </c>
      <c r="O60" s="10"/>
      <c r="P60" s="10"/>
      <c r="Q60" s="19"/>
    </row>
    <row r="61" customFormat="false" ht="15" hidden="false" customHeight="false" outlineLevel="0" collapsed="false">
      <c r="A61" s="31" t="s">
        <v>448</v>
      </c>
      <c r="B61" s="37"/>
      <c r="C61" s="20"/>
      <c r="D61" s="10"/>
      <c r="E61" s="10"/>
      <c r="F61" s="19"/>
      <c r="G61" s="19"/>
      <c r="H61" s="19"/>
      <c r="I61" s="38"/>
      <c r="J61" s="38"/>
      <c r="K61" s="38"/>
      <c r="L61" s="38"/>
      <c r="M61" s="31" t="str">
        <f aca="false">IF(COUNTA(I61:L61)=0,"",N(I61)+N(J61)+N(K61)+N(L61))</f>
        <v/>
      </c>
      <c r="N61" s="31" t="str">
        <f aca="false">IF(M61="","",CHOOSE(M61+1,"★","★★","★★★","★★★★","★★★★★"))</f>
        <v/>
      </c>
      <c r="O61" s="10"/>
      <c r="P61" s="10"/>
      <c r="Q61" s="19"/>
    </row>
    <row r="62" customFormat="false" ht="15" hidden="false" customHeight="false" outlineLevel="0" collapsed="false">
      <c r="A62" s="31" t="s">
        <v>449</v>
      </c>
      <c r="B62" s="37"/>
      <c r="C62" s="20"/>
      <c r="D62" s="10"/>
      <c r="E62" s="10"/>
      <c r="F62" s="19"/>
      <c r="G62" s="19"/>
      <c r="H62" s="19"/>
      <c r="I62" s="38"/>
      <c r="J62" s="38"/>
      <c r="K62" s="38"/>
      <c r="L62" s="38"/>
      <c r="M62" s="31" t="str">
        <f aca="false">IF(COUNTA(I62:L62)=0,"",N(I62)+N(J62)+N(K62)+N(L62))</f>
        <v/>
      </c>
      <c r="N62" s="31" t="str">
        <f aca="false">IF(M62="","",CHOOSE(M62+1,"★","★★","★★★","★★★★","★★★★★"))</f>
        <v/>
      </c>
      <c r="O62" s="10"/>
      <c r="P62" s="10"/>
      <c r="Q62" s="19"/>
    </row>
    <row r="63" customFormat="false" ht="15" hidden="false" customHeight="false" outlineLevel="0" collapsed="false">
      <c r="A63" s="31" t="s">
        <v>450</v>
      </c>
      <c r="B63" s="37"/>
      <c r="C63" s="20"/>
      <c r="D63" s="10"/>
      <c r="E63" s="10"/>
      <c r="F63" s="19"/>
      <c r="G63" s="19"/>
      <c r="H63" s="19"/>
      <c r="I63" s="38"/>
      <c r="J63" s="38"/>
      <c r="K63" s="38"/>
      <c r="L63" s="38"/>
      <c r="M63" s="31" t="str">
        <f aca="false">IF(COUNTA(I63:L63)=0,"",N(I63)+N(J63)+N(K63)+N(L63))</f>
        <v/>
      </c>
      <c r="N63" s="31" t="str">
        <f aca="false">IF(M63="","",CHOOSE(M63+1,"★","★★","★★★","★★★★","★★★★★"))</f>
        <v/>
      </c>
      <c r="O63" s="10"/>
      <c r="P63" s="10"/>
      <c r="Q63" s="19"/>
    </row>
    <row r="64" customFormat="false" ht="15" hidden="false" customHeight="false" outlineLevel="0" collapsed="false">
      <c r="A64" s="31" t="s">
        <v>451</v>
      </c>
      <c r="B64" s="37"/>
      <c r="C64" s="20"/>
      <c r="D64" s="10"/>
      <c r="E64" s="10"/>
      <c r="F64" s="19"/>
      <c r="G64" s="19"/>
      <c r="H64" s="19"/>
      <c r="I64" s="38"/>
      <c r="J64" s="38"/>
      <c r="K64" s="38"/>
      <c r="L64" s="38"/>
      <c r="M64" s="31" t="str">
        <f aca="false">IF(COUNTA(I64:L64)=0,"",N(I64)+N(J64)+N(K64)+N(L64))</f>
        <v/>
      </c>
      <c r="N64" s="31" t="str">
        <f aca="false">IF(M64="","",CHOOSE(M64+1,"★","★★","★★★","★★★★","★★★★★"))</f>
        <v/>
      </c>
      <c r="O64" s="10"/>
      <c r="P64" s="10"/>
      <c r="Q64" s="19"/>
    </row>
  </sheetData>
  <mergeCells count="2">
    <mergeCell ref="A1:P1"/>
    <mergeCell ref="A2:P2"/>
  </mergeCells>
  <conditionalFormatting sqref="O5:O64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3">
      <formula>"조건부"</formula>
    </cfRule>
    <cfRule type="cellIs" priority="4" operator="equal" aboveAverage="0" equalAverage="0" bottom="0" percent="0" rank="0" text="" dxfId="4">
      <formula>"No"</formula>
    </cfRule>
  </conditionalFormatting>
  <conditionalFormatting sqref="N5:N64">
    <cfRule type="cellIs" priority="5" operator="equal" aboveAverage="0" equalAverage="0" bottom="0" percent="0" rank="0" text="" dxfId="5">
      <formula>"★★★★★"</formula>
    </cfRule>
    <cfRule type="cellIs" priority="6" operator="equal" aboveAverage="0" equalAverage="0" bottom="0" percent="0" rank="0" text="" dxfId="6">
      <formula>"★"</formula>
    </cfRule>
  </conditionalFormatting>
  <dataValidations count="5">
    <dataValidation allowBlank="true" error="0 (NO) 또는 1 (YES) 만 입력" errorStyle="stop" errorTitle="값 오류" operator="between" prompt="1 = YES (조건 충족) / 0 = NO / 빈칸 = 미평가" promptTitle="루브릭 Y/N" showDropDown="false" showErrorMessage="false" showInputMessage="false" sqref="I5:L64" type="whole">
      <formula1>0</formula1>
      <formula2>1</formula2>
    </dataValidation>
    <dataValidation allowBlank="true" errorStyle="stop" operator="between" prompt="Yes = 라이브러리 채택, No = 제외, 조건부 = PM 협의" promptTitle="채택 여부" showDropDown="false" showErrorMessage="false" showInputMessage="false" sqref="O5:O64" type="list">
      <formula1>"Yes,No,조건부"</formula1>
      <formula2>0</formula2>
    </dataValidation>
    <dataValidation allowBlank="true" errorStyle="stop" operator="between" prompt="★ 받은 항목은 필수 기재" showDropDown="false" showErrorMessage="false" showInputMessage="false" sqref="P5:P64" type="list">
      <formula1>"darkpattern,copyright,legal,obsolete,unverified_claim,other"</formula1>
      <formula2>0</formula2>
    </dataValidation>
    <dataValidation allowBlank="true" errorStyle="stop" operator="between" prompt="§1 ~ §16" showDropDown="false" showErrorMessage="false" showInputMessage="false" sqref="D5:D64" type="list">
      <formula1>"§1,§2,§3,§4,§5,§6,§7,§8,§9,§10,§11,§12,§13,§14,§15,§16"</formula1>
      <formula2>0</formula2>
    </dataValidation>
    <dataValidation allowBlank="true" errorStyle="stop" operator="between" prompt="Brands 시트 참조 — 목록에 없는 브랜드는 추가 후 입력" showDropDown="false" showErrorMessage="false" showInputMessage="false" sqref="C5:C64" type="list">
      <formula1>Brands!$D$5:$D$22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6" min="5" style="0" width="10"/>
  </cols>
  <sheetData>
    <row r="1" customFormat="false" ht="24" hidden="false" customHeight="true" outlineLevel="0" collapsed="false">
      <c r="A1" s="18" t="s">
        <v>452</v>
      </c>
      <c r="B1" s="18"/>
      <c r="C1" s="18"/>
      <c r="D1" s="18"/>
      <c r="E1" s="18"/>
      <c r="F1" s="18"/>
    </row>
    <row r="2" customFormat="false" ht="11.9" hidden="false" customHeight="false" outlineLevel="0" collapsed="false">
      <c r="A2" s="26" t="s">
        <v>453</v>
      </c>
      <c r="B2" s="26"/>
      <c r="C2" s="26"/>
      <c r="D2" s="26"/>
      <c r="E2" s="26"/>
      <c r="F2" s="26"/>
    </row>
    <row r="4" customFormat="false" ht="14.9" hidden="false" customHeight="false" outlineLevel="0" collapsed="false">
      <c r="A4" s="3" t="s">
        <v>454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7" t="s">
        <v>266</v>
      </c>
      <c r="B5" s="7" t="s">
        <v>455</v>
      </c>
      <c r="C5" s="7" t="s">
        <v>456</v>
      </c>
      <c r="D5" s="7" t="s">
        <v>457</v>
      </c>
      <c r="E5" s="7" t="s">
        <v>458</v>
      </c>
      <c r="F5" s="7" t="s">
        <v>459</v>
      </c>
    </row>
    <row r="6" customFormat="false" ht="15" hidden="false" customHeight="false" outlineLevel="0" collapsed="false">
      <c r="A6" s="31" t="s">
        <v>460</v>
      </c>
      <c r="B6" s="20" t="s">
        <v>461</v>
      </c>
      <c r="C6" s="31" t="n">
        <f aca="false">COUNTIF(Captures!D:D,"§1")</f>
        <v>0</v>
      </c>
      <c r="D6" s="10" t="n">
        <v>3</v>
      </c>
      <c r="E6" s="10" t="n">
        <v>4</v>
      </c>
      <c r="F6" s="39" t="str">
        <f aca="false">IF(C6=0,"미착수",IF(C6&lt;D6,"부족 "&amp;(D6-C6)&amp;"건",IF(C6&lt;=E6,"OK","초과")))</f>
        <v>미착수</v>
      </c>
    </row>
    <row r="7" customFormat="false" ht="15" hidden="false" customHeight="false" outlineLevel="0" collapsed="false">
      <c r="A7" s="31" t="s">
        <v>462</v>
      </c>
      <c r="B7" s="20" t="s">
        <v>463</v>
      </c>
      <c r="C7" s="31" t="n">
        <f aca="false">COUNTIF(Captures!D:D,"§2")</f>
        <v>0</v>
      </c>
      <c r="D7" s="10" t="n">
        <v>4</v>
      </c>
      <c r="E7" s="10" t="n">
        <v>5</v>
      </c>
      <c r="F7" s="39" t="str">
        <f aca="false">IF(C7=0,"미착수",IF(C7&lt;D7,"부족 "&amp;(D7-C7)&amp;"건",IF(C7&lt;=E7,"OK","초과")))</f>
        <v>미착수</v>
      </c>
    </row>
    <row r="8" customFormat="false" ht="15" hidden="false" customHeight="false" outlineLevel="0" collapsed="false">
      <c r="A8" s="31" t="s">
        <v>464</v>
      </c>
      <c r="B8" s="19" t="s">
        <v>465</v>
      </c>
      <c r="C8" s="31" t="n">
        <f aca="false">COUNTIF(Captures!D:D,"§3")</f>
        <v>0</v>
      </c>
      <c r="D8" s="10" t="n">
        <v>5</v>
      </c>
      <c r="E8" s="10" t="n">
        <v>5</v>
      </c>
      <c r="F8" s="39" t="str">
        <f aca="false">IF(C8=0,"미착수",IF(C8&lt;D8,"부족 "&amp;(D8-C8)&amp;"건",IF(C8&lt;=E8,"OK","초과")))</f>
        <v>미착수</v>
      </c>
    </row>
    <row r="9" customFormat="false" ht="15" hidden="false" customHeight="false" outlineLevel="0" collapsed="false">
      <c r="A9" s="31" t="s">
        <v>466</v>
      </c>
      <c r="B9" s="19" t="s">
        <v>467</v>
      </c>
      <c r="C9" s="31" t="n">
        <f aca="false">COUNTIF(Captures!D:D,"§4")</f>
        <v>0</v>
      </c>
      <c r="D9" s="10" t="n">
        <v>3</v>
      </c>
      <c r="E9" s="10" t="n">
        <v>3</v>
      </c>
      <c r="F9" s="39" t="str">
        <f aca="false">IF(C9=0,"미착수",IF(C9&lt;D9,"부족 "&amp;(D9-C9)&amp;"건",IF(C9&lt;=E9,"OK","초과")))</f>
        <v>미착수</v>
      </c>
    </row>
    <row r="10" customFormat="false" ht="15" hidden="false" customHeight="false" outlineLevel="0" collapsed="false">
      <c r="A10" s="31" t="s">
        <v>468</v>
      </c>
      <c r="B10" s="19" t="s">
        <v>469</v>
      </c>
      <c r="C10" s="31" t="n">
        <f aca="false">COUNTIF(Captures!D:D,"§5")</f>
        <v>0</v>
      </c>
      <c r="D10" s="10" t="n">
        <v>3</v>
      </c>
      <c r="E10" s="10" t="n">
        <v>4</v>
      </c>
      <c r="F10" s="39" t="str">
        <f aca="false">IF(C10=0,"미착수",IF(C10&lt;D10,"부족 "&amp;(D10-C10)&amp;"건",IF(C10&lt;=E10,"OK","초과")))</f>
        <v>미착수</v>
      </c>
    </row>
    <row r="11" customFormat="false" ht="15" hidden="false" customHeight="false" outlineLevel="0" collapsed="false">
      <c r="A11" s="31" t="s">
        <v>470</v>
      </c>
      <c r="B11" s="19" t="s">
        <v>471</v>
      </c>
      <c r="C11" s="31" t="n">
        <f aca="false">COUNTIF(Captures!D:D,"§6")</f>
        <v>0</v>
      </c>
      <c r="D11" s="10" t="n">
        <v>3</v>
      </c>
      <c r="E11" s="10" t="n">
        <v>4</v>
      </c>
      <c r="F11" s="39" t="str">
        <f aca="false">IF(C11=0,"미착수",IF(C11&lt;D11,"부족 "&amp;(D11-C11)&amp;"건",IF(C11&lt;=E11,"OK","초과")))</f>
        <v>미착수</v>
      </c>
    </row>
    <row r="12" customFormat="false" ht="15" hidden="false" customHeight="false" outlineLevel="0" collapsed="false">
      <c r="A12" s="31" t="s">
        <v>472</v>
      </c>
      <c r="B12" s="19" t="s">
        <v>473</v>
      </c>
      <c r="C12" s="31" t="n">
        <f aca="false">COUNTIF(Captures!D:D,"§7")</f>
        <v>0</v>
      </c>
      <c r="D12" s="10" t="n">
        <v>3</v>
      </c>
      <c r="E12" s="10" t="n">
        <v>4</v>
      </c>
      <c r="F12" s="39" t="str">
        <f aca="false">IF(C12=0,"미착수",IF(C12&lt;D12,"부족 "&amp;(D12-C12)&amp;"건",IF(C12&lt;=E12,"OK","초과")))</f>
        <v>미착수</v>
      </c>
    </row>
    <row r="13" customFormat="false" ht="15" hidden="false" customHeight="false" outlineLevel="0" collapsed="false">
      <c r="A13" s="31" t="s">
        <v>474</v>
      </c>
      <c r="B13" s="19" t="s">
        <v>475</v>
      </c>
      <c r="C13" s="31" t="n">
        <f aca="false">COUNTIF(Captures!D:D,"§8")</f>
        <v>0</v>
      </c>
      <c r="D13" s="10" t="n">
        <v>3</v>
      </c>
      <c r="E13" s="10" t="n">
        <v>4</v>
      </c>
      <c r="F13" s="39" t="str">
        <f aca="false">IF(C13=0,"미착수",IF(C13&lt;D13,"부족 "&amp;(D13-C13)&amp;"건",IF(C13&lt;=E13,"OK","초과")))</f>
        <v>미착수</v>
      </c>
    </row>
    <row r="14" customFormat="false" ht="15" hidden="false" customHeight="false" outlineLevel="0" collapsed="false">
      <c r="A14" s="31" t="s">
        <v>476</v>
      </c>
      <c r="B14" s="19" t="s">
        <v>477</v>
      </c>
      <c r="C14" s="31" t="n">
        <f aca="false">COUNTIF(Captures!D:D,"§9")</f>
        <v>0</v>
      </c>
      <c r="D14" s="10" t="n">
        <v>2</v>
      </c>
      <c r="E14" s="10" t="n">
        <v>3</v>
      </c>
      <c r="F14" s="39" t="str">
        <f aca="false">IF(C14=0,"미착수",IF(C14&lt;D14,"부족 "&amp;(D14-C14)&amp;"건",IF(C14&lt;=E14,"OK","초과")))</f>
        <v>미착수</v>
      </c>
    </row>
    <row r="15" customFormat="false" ht="15" hidden="false" customHeight="false" outlineLevel="0" collapsed="false">
      <c r="A15" s="31" t="s">
        <v>478</v>
      </c>
      <c r="B15" s="19" t="s">
        <v>479</v>
      </c>
      <c r="C15" s="31" t="n">
        <f aca="false">COUNTIF(Captures!D:D,"§10")</f>
        <v>0</v>
      </c>
      <c r="D15" s="10" t="n">
        <v>3</v>
      </c>
      <c r="E15" s="10" t="n">
        <v>3</v>
      </c>
      <c r="F15" s="39" t="str">
        <f aca="false">IF(C15=0,"미착수",IF(C15&lt;D15,"부족 "&amp;(D15-C15)&amp;"건",IF(C15&lt;=E15,"OK","초과")))</f>
        <v>미착수</v>
      </c>
    </row>
    <row r="16" customFormat="false" ht="15" hidden="false" customHeight="false" outlineLevel="0" collapsed="false">
      <c r="A16" s="31" t="s">
        <v>480</v>
      </c>
      <c r="B16" s="19" t="s">
        <v>481</v>
      </c>
      <c r="C16" s="31" t="n">
        <f aca="false">COUNTIF(Captures!D:D,"§11")</f>
        <v>0</v>
      </c>
      <c r="D16" s="10" t="n">
        <v>3</v>
      </c>
      <c r="E16" s="10" t="n">
        <v>3</v>
      </c>
      <c r="F16" s="39" t="str">
        <f aca="false">IF(C16=0,"미착수",IF(C16&lt;D16,"부족 "&amp;(D16-C16)&amp;"건",IF(C16&lt;=E16,"OK","초과")))</f>
        <v>미착수</v>
      </c>
    </row>
    <row r="17" customFormat="false" ht="15" hidden="false" customHeight="false" outlineLevel="0" collapsed="false">
      <c r="A17" s="31" t="s">
        <v>482</v>
      </c>
      <c r="B17" s="19" t="s">
        <v>483</v>
      </c>
      <c r="C17" s="31" t="n">
        <f aca="false">COUNTIF(Captures!D:D,"§12")</f>
        <v>0</v>
      </c>
      <c r="D17" s="10" t="n">
        <v>2</v>
      </c>
      <c r="E17" s="10" t="n">
        <v>3</v>
      </c>
      <c r="F17" s="39" t="str">
        <f aca="false">IF(C17=0,"미착수",IF(C17&lt;D17,"부족 "&amp;(D17-C17)&amp;"건",IF(C17&lt;=E17,"OK","초과")))</f>
        <v>미착수</v>
      </c>
    </row>
    <row r="18" customFormat="false" ht="15" hidden="false" customHeight="false" outlineLevel="0" collapsed="false">
      <c r="A18" s="31" t="s">
        <v>484</v>
      </c>
      <c r="B18" s="20" t="s">
        <v>485</v>
      </c>
      <c r="C18" s="31" t="n">
        <f aca="false">COUNTIF(Captures!D:D,"§13")</f>
        <v>0</v>
      </c>
      <c r="D18" s="10" t="n">
        <v>3</v>
      </c>
      <c r="E18" s="10" t="n">
        <v>3</v>
      </c>
      <c r="F18" s="39" t="str">
        <f aca="false">IF(C18=0,"미착수",IF(C18&lt;D18,"부족 "&amp;(D18-C18)&amp;"건",IF(C18&lt;=E18,"OK","초과")))</f>
        <v>미착수</v>
      </c>
    </row>
    <row r="19" customFormat="false" ht="15" hidden="false" customHeight="false" outlineLevel="0" collapsed="false">
      <c r="A19" s="31" t="s">
        <v>486</v>
      </c>
      <c r="B19" s="19" t="s">
        <v>487</v>
      </c>
      <c r="C19" s="31" t="n">
        <f aca="false">COUNTIF(Captures!D:D,"§14")</f>
        <v>0</v>
      </c>
      <c r="D19" s="10" t="n">
        <v>2</v>
      </c>
      <c r="E19" s="10" t="n">
        <v>3</v>
      </c>
      <c r="F19" s="39" t="str">
        <f aca="false">IF(C19=0,"미착수",IF(C19&lt;D19,"부족 "&amp;(D19-C19)&amp;"건",IF(C19&lt;=E19,"OK","초과")))</f>
        <v>미착수</v>
      </c>
    </row>
    <row r="20" customFormat="false" ht="15" hidden="false" customHeight="false" outlineLevel="0" collapsed="false">
      <c r="A20" s="31" t="s">
        <v>488</v>
      </c>
      <c r="B20" s="20" t="s">
        <v>489</v>
      </c>
      <c r="C20" s="31" t="n">
        <f aca="false">COUNTIF(Captures!D:D,"§15")</f>
        <v>0</v>
      </c>
      <c r="D20" s="10" t="n">
        <v>3</v>
      </c>
      <c r="E20" s="10" t="n">
        <v>3</v>
      </c>
      <c r="F20" s="39" t="str">
        <f aca="false">IF(C20=0,"미착수",IF(C20&lt;D20,"부족 "&amp;(D20-C20)&amp;"건",IF(C20&lt;=E20,"OK","초과")))</f>
        <v>미착수</v>
      </c>
    </row>
    <row r="21" customFormat="false" ht="15" hidden="false" customHeight="false" outlineLevel="0" collapsed="false">
      <c r="A21" s="31" t="s">
        <v>490</v>
      </c>
      <c r="B21" s="20" t="s">
        <v>491</v>
      </c>
      <c r="C21" s="31" t="n">
        <f aca="false">COUNTIF(Captures!D:D,"§16")</f>
        <v>0</v>
      </c>
      <c r="D21" s="10" t="n">
        <v>3</v>
      </c>
      <c r="E21" s="10" t="n">
        <v>4</v>
      </c>
      <c r="F21" s="39" t="str">
        <f aca="false">IF(C21=0,"미착수",IF(C21&lt;D21,"부족 "&amp;(D21-C21)&amp;"건",IF(C21&lt;=E21,"OK","초과")))</f>
        <v>미착수</v>
      </c>
    </row>
    <row r="22" customFormat="false" ht="15" hidden="false" customHeight="true" outlineLevel="0" collapsed="false">
      <c r="A22" s="33" t="s">
        <v>378</v>
      </c>
      <c r="B22" s="33"/>
      <c r="C22" s="11" t="n">
        <f aca="false">SUM(C6:C21)</f>
        <v>0</v>
      </c>
      <c r="D22" s="11" t="n">
        <f aca="false">SUM(D6:D21)</f>
        <v>48</v>
      </c>
      <c r="E22" s="11" t="n">
        <f aca="false">SUM(E6:E21)</f>
        <v>58</v>
      </c>
      <c r="F22" s="40"/>
    </row>
    <row r="24" customFormat="false" ht="14.9" hidden="false" customHeight="false" outlineLevel="0" collapsed="false">
      <c r="A24" s="3" t="s">
        <v>492</v>
      </c>
      <c r="B24" s="3"/>
      <c r="C24" s="3"/>
      <c r="D24" s="3"/>
      <c r="E24" s="3"/>
      <c r="F24" s="3"/>
    </row>
    <row r="25" customFormat="false" ht="15" hidden="false" customHeight="false" outlineLevel="0" collapsed="false">
      <c r="A25" s="7" t="s">
        <v>100</v>
      </c>
      <c r="B25" s="7" t="s">
        <v>98</v>
      </c>
      <c r="C25" s="7" t="s">
        <v>493</v>
      </c>
      <c r="D25" s="6"/>
      <c r="E25" s="6"/>
      <c r="F25" s="6"/>
    </row>
    <row r="26" customFormat="false" ht="23.85" hidden="false" customHeight="false" outlineLevel="0" collapsed="false">
      <c r="A26" s="27" t="s">
        <v>107</v>
      </c>
      <c r="B26" s="10" t="s">
        <v>106</v>
      </c>
      <c r="C26" s="31" t="n">
        <f aca="false">COUNTIF(Captures!C:C,"키움에셋플래너")</f>
        <v>0</v>
      </c>
      <c r="D26" s="19"/>
      <c r="E26" s="19"/>
      <c r="F26" s="19"/>
    </row>
    <row r="27" customFormat="false" ht="15" hidden="false" customHeight="false" outlineLevel="0" collapsed="false">
      <c r="A27" s="27" t="s">
        <v>113</v>
      </c>
      <c r="B27" s="10" t="s">
        <v>106</v>
      </c>
      <c r="C27" s="31" t="n">
        <f aca="false">COUNTIF(Captures!C:C,"메타리치")</f>
        <v>0</v>
      </c>
      <c r="D27" s="19"/>
      <c r="E27" s="19"/>
      <c r="F27" s="19"/>
    </row>
    <row r="28" customFormat="false" ht="15" hidden="false" customHeight="false" outlineLevel="0" collapsed="false">
      <c r="A28" s="27" t="s">
        <v>117</v>
      </c>
      <c r="B28" s="10" t="s">
        <v>106</v>
      </c>
      <c r="C28" s="31" t="n">
        <f aca="false">COUNTIF(Captures!C:C,"굿리치")</f>
        <v>0</v>
      </c>
      <c r="D28" s="19"/>
      <c r="E28" s="19"/>
      <c r="F28" s="19"/>
    </row>
    <row r="29" customFormat="false" ht="15" hidden="false" customHeight="false" outlineLevel="0" collapsed="false">
      <c r="A29" s="27" t="s">
        <v>123</v>
      </c>
      <c r="B29" s="10" t="s">
        <v>106</v>
      </c>
      <c r="C29" s="31" t="n">
        <f aca="false">COUNTIF(Captures!C:C,"보험다모아")</f>
        <v>0</v>
      </c>
      <c r="D29" s="19"/>
      <c r="E29" s="19"/>
      <c r="F29" s="19"/>
    </row>
    <row r="30" customFormat="false" ht="23.85" hidden="false" customHeight="false" outlineLevel="0" collapsed="false">
      <c r="A30" s="27" t="s">
        <v>129</v>
      </c>
      <c r="B30" s="10" t="s">
        <v>106</v>
      </c>
      <c r="C30" s="31" t="n">
        <f aca="false">COUNTIF(Captures!C:C,"내보험찾아줌")</f>
        <v>0</v>
      </c>
      <c r="D30" s="19"/>
      <c r="E30" s="19"/>
      <c r="F30" s="19"/>
    </row>
    <row r="31" customFormat="false" ht="15" hidden="false" customHeight="false" outlineLevel="0" collapsed="false">
      <c r="A31" s="27" t="s">
        <v>135</v>
      </c>
      <c r="B31" s="10" t="s">
        <v>106</v>
      </c>
      <c r="C31" s="31" t="n">
        <f aca="false">COUNTIF(Captures!C:C,"보맵")</f>
        <v>0</v>
      </c>
      <c r="D31" s="19"/>
      <c r="E31" s="19"/>
      <c r="F31" s="19"/>
    </row>
    <row r="32" customFormat="false" ht="15" hidden="false" customHeight="false" outlineLevel="0" collapsed="false">
      <c r="A32" s="27" t="s">
        <v>141</v>
      </c>
      <c r="B32" s="10" t="s">
        <v>106</v>
      </c>
      <c r="C32" s="31" t="n">
        <f aca="false">COUNTIF(Captures!C:C,"보험플러스")</f>
        <v>0</v>
      </c>
      <c r="D32" s="19"/>
      <c r="E32" s="19"/>
      <c r="F32" s="19"/>
    </row>
    <row r="33" customFormat="false" ht="23.85" hidden="false" customHeight="false" outlineLevel="0" collapsed="false">
      <c r="A33" s="27" t="s">
        <v>146</v>
      </c>
      <c r="B33" s="10" t="s">
        <v>106</v>
      </c>
      <c r="C33" s="31" t="n">
        <f aca="false">COUNTIF(Captures!C:C,"토스인슈어런스")</f>
        <v>0</v>
      </c>
      <c r="D33" s="19"/>
      <c r="E33" s="19"/>
      <c r="F33" s="19"/>
    </row>
    <row r="34" customFormat="false" ht="23.85" hidden="false" customHeight="false" outlineLevel="0" collapsed="false">
      <c r="A34" s="27" t="s">
        <v>153</v>
      </c>
      <c r="B34" s="10" t="s">
        <v>152</v>
      </c>
      <c r="C34" s="31" t="n">
        <f aca="false">COUNTIF(Captures!C:C,"삼성화재 다이렉트")</f>
        <v>0</v>
      </c>
      <c r="D34" s="19"/>
      <c r="E34" s="19"/>
      <c r="F34" s="19"/>
    </row>
    <row r="35" customFormat="false" ht="23.85" hidden="false" customHeight="false" outlineLevel="0" collapsed="false">
      <c r="A35" s="29" t="s">
        <v>376</v>
      </c>
      <c r="B35" s="10" t="s">
        <v>152</v>
      </c>
      <c r="C35" s="31" t="n">
        <f aca="false">COUNTIF(Captures!C:C,"DB손해보험")</f>
        <v>0</v>
      </c>
      <c r="D35" s="19"/>
      <c r="E35" s="19"/>
      <c r="F35" s="19"/>
    </row>
    <row r="36" customFormat="false" ht="23.85" hidden="false" customHeight="false" outlineLevel="0" collapsed="false">
      <c r="A36" s="27" t="s">
        <v>161</v>
      </c>
      <c r="B36" s="10" t="s">
        <v>152</v>
      </c>
      <c r="C36" s="31" t="n">
        <f aca="false">COUNTIF(Captures!C:C,"현대해상 다이렉트")</f>
        <v>0</v>
      </c>
      <c r="D36" s="19"/>
      <c r="E36" s="19"/>
      <c r="F36" s="19"/>
    </row>
    <row r="37" customFormat="false" ht="23.85" hidden="false" customHeight="false" outlineLevel="0" collapsed="false">
      <c r="A37" s="27" t="s">
        <v>165</v>
      </c>
      <c r="B37" s="10" t="s">
        <v>152</v>
      </c>
      <c r="C37" s="31" t="n">
        <f aca="false">COUNTIF(Captures!C:C,"메리츠화재 다이렉트")</f>
        <v>0</v>
      </c>
      <c r="D37" s="19"/>
      <c r="E37" s="19"/>
      <c r="F37" s="19"/>
    </row>
    <row r="38" customFormat="false" ht="23.85" hidden="false" customHeight="false" outlineLevel="0" collapsed="false">
      <c r="A38" s="27" t="s">
        <v>169</v>
      </c>
      <c r="B38" s="10" t="s">
        <v>152</v>
      </c>
      <c r="C38" s="31" t="n">
        <f aca="false">COUNTIF(Captures!C:C,"캐롯손해보험")</f>
        <v>0</v>
      </c>
      <c r="D38" s="19"/>
      <c r="E38" s="19"/>
      <c r="F38" s="19"/>
    </row>
    <row r="39" customFormat="false" ht="35.05" hidden="false" customHeight="false" outlineLevel="0" collapsed="false">
      <c r="A39" s="29" t="s">
        <v>377</v>
      </c>
      <c r="B39" s="10" t="s">
        <v>152</v>
      </c>
      <c r="C39" s="31" t="n">
        <f aca="false">COUNTIF(Captures!C:C,"KB손해보험 다이렉트")</f>
        <v>0</v>
      </c>
      <c r="D39" s="19"/>
      <c r="E39" s="19"/>
      <c r="F39" s="19"/>
    </row>
    <row r="40" customFormat="false" ht="23.85" hidden="false" customHeight="false" outlineLevel="0" collapsed="false">
      <c r="A40" s="27" t="s">
        <v>177</v>
      </c>
      <c r="B40" s="10" t="s">
        <v>152</v>
      </c>
      <c r="C40" s="31" t="n">
        <f aca="false">COUNTIF(Captures!C:C,"라이나생명 다이렉트")</f>
        <v>0</v>
      </c>
      <c r="D40" s="19"/>
      <c r="E40" s="19"/>
      <c r="F40" s="19"/>
    </row>
    <row r="41" customFormat="false" ht="15" hidden="false" customHeight="false" outlineLevel="0" collapsed="false">
      <c r="A41" s="27" t="s">
        <v>184</v>
      </c>
      <c r="B41" s="10" t="s">
        <v>183</v>
      </c>
      <c r="C41" s="31" t="n">
        <f aca="false">COUNTIF(Captures!C:C,"토스")</f>
        <v>0</v>
      </c>
      <c r="D41" s="19"/>
      <c r="E41" s="19"/>
      <c r="F41" s="19"/>
    </row>
    <row r="42" customFormat="false" ht="15" hidden="false" customHeight="false" outlineLevel="0" collapsed="false">
      <c r="A42" s="27" t="s">
        <v>188</v>
      </c>
      <c r="B42" s="10" t="s">
        <v>183</v>
      </c>
      <c r="C42" s="31" t="n">
        <f aca="false">COUNTIF(Captures!C:C,"카카오페이")</f>
        <v>0</v>
      </c>
      <c r="D42" s="19"/>
      <c r="E42" s="19"/>
      <c r="F42" s="19"/>
    </row>
    <row r="43" customFormat="false" ht="15" hidden="false" customHeight="false" outlineLevel="0" collapsed="false">
      <c r="A43" s="27" t="s">
        <v>192</v>
      </c>
      <c r="B43" s="10" t="s">
        <v>183</v>
      </c>
      <c r="C43" s="31" t="n">
        <f aca="false">COUNTIF(Captures!C:C,"뱅크샐러드")</f>
        <v>0</v>
      </c>
      <c r="D43" s="19"/>
      <c r="E43" s="19"/>
      <c r="F43" s="19"/>
    </row>
    <row r="44" customFormat="false" ht="15" hidden="false" customHeight="true" outlineLevel="0" collapsed="false">
      <c r="A44" s="34" t="s">
        <v>494</v>
      </c>
      <c r="B44" s="34"/>
      <c r="C44" s="35" t="n">
        <f aca="false">SUMPRODUCT(--(C26:C43&gt;0))</f>
        <v>0</v>
      </c>
      <c r="D44" s="36"/>
      <c r="E44" s="36"/>
      <c r="F44" s="36"/>
    </row>
    <row r="46" customFormat="false" ht="14.9" hidden="false" customHeight="false" outlineLevel="0" collapsed="false">
      <c r="A46" s="3" t="s">
        <v>495</v>
      </c>
      <c r="B46" s="3"/>
      <c r="C46" s="3"/>
      <c r="D46" s="3"/>
      <c r="E46" s="3"/>
      <c r="F46" s="3"/>
    </row>
    <row r="47" customFormat="false" ht="15" hidden="false" customHeight="false" outlineLevel="0" collapsed="false">
      <c r="A47" s="7" t="s">
        <v>496</v>
      </c>
      <c r="B47" s="7" t="s">
        <v>56</v>
      </c>
      <c r="C47" s="7" t="s">
        <v>497</v>
      </c>
      <c r="D47" s="7" t="s">
        <v>459</v>
      </c>
      <c r="E47" s="6"/>
      <c r="F47" s="6"/>
    </row>
    <row r="48" customFormat="false" ht="23.85" hidden="false" customHeight="false" outlineLevel="0" collapsed="false">
      <c r="A48" s="27" t="s">
        <v>498</v>
      </c>
      <c r="B48" s="31" t="n">
        <f aca="false">COUNTA(Captures!A5:A64)-COUNTBLANK(Captures!C5:C64)</f>
        <v>0</v>
      </c>
      <c r="C48" s="20" t="s">
        <v>499</v>
      </c>
      <c r="D48" s="31" t="str">
        <f aca="false">IF(B48=0,"미착수",IF(B48&gt;=60,"OK",IF(B48&gt;=40,"진행중","부족")))</f>
        <v>미착수</v>
      </c>
      <c r="E48" s="19"/>
      <c r="F48" s="19"/>
    </row>
    <row r="49" customFormat="false" ht="23.85" hidden="false" customHeight="false" outlineLevel="0" collapsed="false">
      <c r="A49" s="27" t="s">
        <v>500</v>
      </c>
      <c r="B49" s="31" t="n">
        <f aca="false">COUNTIF(Captures!O:O,"Yes")</f>
        <v>0</v>
      </c>
      <c r="C49" s="19" t="s">
        <v>501</v>
      </c>
      <c r="D49" s="31" t="str">
        <f aca="false">IF(B49&gt;=16,"OK",IF(B49&gt;=8,"진행중","부족"))</f>
        <v>부족</v>
      </c>
      <c r="E49" s="19"/>
      <c r="F49" s="19"/>
    </row>
    <row r="50" customFormat="false" ht="35.05" hidden="false" customHeight="false" outlineLevel="0" collapsed="false">
      <c r="A50" s="27" t="s">
        <v>502</v>
      </c>
      <c r="B50" s="41" t="n">
        <f aca="false">IFERROR(COUNTIF(Captures!N:N,"★★★★★")/COUNTIFS(Captures!N:N,"&lt;&gt;"),0)</f>
        <v>0</v>
      </c>
      <c r="C50" s="20" t="s">
        <v>503</v>
      </c>
      <c r="D50" s="31" t="str">
        <f aca="false">IF(B50=0,"-",IF(B50&lt;=0.3,"OK","경고: 기준 느슨"))</f>
        <v>-</v>
      </c>
      <c r="E50" s="19"/>
      <c r="F50" s="19"/>
    </row>
    <row r="51" customFormat="false" ht="23.85" hidden="false" customHeight="false" outlineLevel="0" collapsed="false">
      <c r="A51" s="27" t="s">
        <v>504</v>
      </c>
      <c r="B51" s="31" t="n">
        <f aca="false">COUNTIF(Captures!N:N,"★")</f>
        <v>0</v>
      </c>
      <c r="C51" s="20" t="s">
        <v>505</v>
      </c>
      <c r="D51" s="31" t="str">
        <f aca="false">IF(B51=0,"-",IF(COUNTBLANK(Captures!P5:P64)&gt;COUNTIF(Captures!P5:P64,""),"reject_reason 일부 누락","OK"))</f>
        <v>-</v>
      </c>
      <c r="E51" s="19"/>
      <c r="F51" s="19"/>
    </row>
    <row r="52" customFormat="false" ht="35.05" hidden="false" customHeight="false" outlineLevel="0" collapsed="false">
      <c r="A52" s="27" t="s">
        <v>506</v>
      </c>
      <c r="B52" s="31" t="n">
        <f aca="false">SUMPRODUCT((Captures!D5:D64&lt;&gt;"")*(COUNTIFS(Captures!D5:D64,Captures!D5:D64,Captures!E5:E64,Captures!E5:E64)&gt;1))</f>
        <v>0</v>
      </c>
      <c r="C52" s="19" t="s">
        <v>507</v>
      </c>
      <c r="D52" s="31" t="str">
        <f aca="false">IF(B52=0,"OK",IF(B52&lt;=2,"주의","경고: 중복 다수"))</f>
        <v>OK</v>
      </c>
      <c r="E52" s="19"/>
      <c r="F52" s="19"/>
    </row>
    <row r="53" customFormat="false" ht="35.05" hidden="false" customHeight="false" outlineLevel="0" collapsed="false">
      <c r="A53" s="27" t="s">
        <v>508</v>
      </c>
      <c r="B53" s="31" t="n">
        <f aca="false">COUNTIF(Captures!P:P,"darkpattern")+COUNTIF(Captures!P:P,"legal")+COUNTIF(Captures!P:P,"unverified_claim")</f>
        <v>0</v>
      </c>
      <c r="C53" s="19" t="s">
        <v>509</v>
      </c>
      <c r="D53" s="31" t="str">
        <f aca="false">IF(B53=0,"OK","법무 검토 필요")</f>
        <v>OK</v>
      </c>
      <c r="E53" s="19"/>
      <c r="F53" s="19"/>
    </row>
    <row r="56" customFormat="false" ht="14.9" hidden="false" customHeight="false" outlineLevel="0" collapsed="false">
      <c r="A56" s="3" t="s">
        <v>510</v>
      </c>
      <c r="B56" s="3"/>
      <c r="C56" s="3"/>
      <c r="D56" s="3"/>
      <c r="E56" s="3"/>
      <c r="F56" s="3"/>
    </row>
    <row r="57" customFormat="false" ht="15" hidden="false" customHeight="false" outlineLevel="0" collapsed="false">
      <c r="A57" s="6" t="s">
        <v>6</v>
      </c>
      <c r="B57" s="7" t="s">
        <v>511</v>
      </c>
      <c r="C57" s="7" t="s">
        <v>497</v>
      </c>
      <c r="D57" s="7" t="s">
        <v>512</v>
      </c>
      <c r="E57" s="7" t="s">
        <v>513</v>
      </c>
      <c r="F57" s="6"/>
    </row>
    <row r="58" customFormat="false" ht="15" hidden="false" customHeight="false" outlineLevel="0" collapsed="false">
      <c r="A58" s="31" t="s">
        <v>514</v>
      </c>
      <c r="B58" s="19" t="s">
        <v>515</v>
      </c>
      <c r="C58" s="19" t="s">
        <v>516</v>
      </c>
      <c r="D58" s="31" t="str">
        <f aca="false">IF(COUNTIF(Captures!D5:D64,"§?")+COUNTIF(Captures!D5:D64,"§??")=0,"❌ 미착수",IF(COUNTA(unique(filter(Captures!D5:D64,Captures!D5:D64&lt;&gt;"")))&gt;=16,"✅","❌ 누락 섹션 존재"))</f>
        <v>❌ 미착수</v>
      </c>
      <c r="E58" s="10"/>
      <c r="F58" s="19"/>
    </row>
    <row r="59" customFormat="false" ht="15" hidden="false" customHeight="false" outlineLevel="0" collapsed="false">
      <c r="A59" s="31" t="s">
        <v>517</v>
      </c>
      <c r="B59" s="19" t="s">
        <v>518</v>
      </c>
      <c r="C59" s="19" t="s">
        <v>519</v>
      </c>
      <c r="D59" s="31" t="str">
        <f aca="false">IF(COUNTIFS(Captures!D5:D64,"§3")&gt;=5,IF(COUNTIFS(Captures!D5:D64,"§2")&gt;=4,"✅","⏳ 진행중"),"⏳ 진행중")</f>
        <v>⏳ 진행중</v>
      </c>
      <c r="E59" s="10"/>
      <c r="F59" s="19"/>
    </row>
    <row r="60" customFormat="false" ht="15" hidden="false" customHeight="false" outlineLevel="0" collapsed="false">
      <c r="A60" s="31" t="s">
        <v>221</v>
      </c>
      <c r="B60" s="19" t="s">
        <v>520</v>
      </c>
      <c r="C60" s="19" t="s">
        <v>521</v>
      </c>
      <c r="D60" s="31" t="str">
        <f aca="false">IF(SUMPRODUCT(--(COUNTIF(Captures!C5:C64,Brands!D5:D22)&gt;0))&gt;=15,"✅","❌ 현재 " &amp; SUMPRODUCT(--(COUNTIF(Captures!C5:C64,Brands!D5:D22)&gt;0)))</f>
        <v>❌ 현재 0</v>
      </c>
      <c r="E60" s="10"/>
      <c r="F60" s="19"/>
    </row>
    <row r="61" customFormat="false" ht="15" hidden="false" customHeight="false" outlineLevel="0" collapsed="false">
      <c r="A61" s="31" t="s">
        <v>522</v>
      </c>
      <c r="B61" s="20" t="s">
        <v>523</v>
      </c>
      <c r="C61" s="20" t="s">
        <v>524</v>
      </c>
      <c r="D61" s="31" t="str">
        <f aca="false">IF(SUMPRODUCT(--(COUNTIF(Captures!C5:C64,Brands!D5:D12)&gt;0))&gt;=5,"✅","❌ 현재 " &amp; SUMPRODUCT(--(COUNTIF(Captures!C5:C64,Brands!D5:D12)&gt;0)))</f>
        <v>❌ 현재 0</v>
      </c>
      <c r="E61" s="10"/>
      <c r="F61" s="19"/>
    </row>
    <row r="62" customFormat="false" ht="15" hidden="false" customHeight="false" outlineLevel="0" collapsed="false">
      <c r="A62" s="31" t="s">
        <v>216</v>
      </c>
      <c r="B62" s="19" t="s">
        <v>525</v>
      </c>
      <c r="C62" s="19" t="s">
        <v>526</v>
      </c>
      <c r="D62" s="31" t="str">
        <f aca="false">IF(SUMPRODUCT((Captures!D5:D64&lt;&gt;"")*(COUNTIFS(Captures!D5:D64,Captures!D5:D64,Captures!E5:E64,Captures!E5:E64)&gt;1))=0,"✅","❌ 중복 발견")</f>
        <v>✅</v>
      </c>
      <c r="E62" s="10"/>
      <c r="F62" s="19"/>
    </row>
    <row r="63" customFormat="false" ht="15" hidden="false" customHeight="false" outlineLevel="0" collapsed="false">
      <c r="A63" s="31" t="s">
        <v>527</v>
      </c>
      <c r="B63" s="19" t="s">
        <v>528</v>
      </c>
      <c r="C63" s="20" t="s">
        <v>529</v>
      </c>
      <c r="D63" s="31" t="str">
        <f aca="false">IF(SUMPRODUCT((Captures!C5:C64&lt;&gt;"")*((Captures!I5:I64="")+(Captures!J5:J64="")+(Captures!K5:K64="")+(Captures!L5:L64="")&gt;0))=0,"✅","❌ 누락 행 존재")</f>
        <v>✅</v>
      </c>
      <c r="E63" s="10"/>
      <c r="F63" s="19"/>
    </row>
    <row r="64" customFormat="false" ht="15" hidden="false" customHeight="false" outlineLevel="0" collapsed="false">
      <c r="A64" s="31" t="s">
        <v>530</v>
      </c>
      <c r="B64" s="19" t="s">
        <v>531</v>
      </c>
      <c r="C64" s="19" t="s">
        <v>532</v>
      </c>
      <c r="D64" s="31" t="str">
        <f aca="false">IF(SUMPRODUCT((Captures!C5:C64&lt;&gt;"")*(Captures!N5:N64=""))=0,"✅","❌ ★ 미산출 행")</f>
        <v>✅</v>
      </c>
      <c r="E64" s="10"/>
      <c r="F64" s="19"/>
    </row>
    <row r="65" customFormat="false" ht="15" hidden="false" customHeight="false" outlineLevel="0" collapsed="false">
      <c r="A65" s="31" t="s">
        <v>533</v>
      </c>
      <c r="B65" s="19" t="s">
        <v>534</v>
      </c>
      <c r="C65" s="20" t="s">
        <v>535</v>
      </c>
      <c r="D65" s="31" t="s">
        <v>536</v>
      </c>
      <c r="E65" s="10"/>
      <c r="F65" s="19"/>
    </row>
    <row r="66" customFormat="false" ht="15" hidden="false" customHeight="false" outlineLevel="0" collapsed="false">
      <c r="A66" s="31" t="s">
        <v>537</v>
      </c>
      <c r="B66" s="19" t="s">
        <v>538</v>
      </c>
      <c r="C66" s="19" t="s">
        <v>539</v>
      </c>
      <c r="D66" s="31" t="s">
        <v>536</v>
      </c>
      <c r="E66" s="10"/>
      <c r="F66" s="19"/>
    </row>
    <row r="67" customFormat="false" ht="15" hidden="false" customHeight="false" outlineLevel="0" collapsed="false">
      <c r="A67" s="31" t="s">
        <v>540</v>
      </c>
      <c r="B67" s="20" t="s">
        <v>541</v>
      </c>
      <c r="C67" s="20" t="s">
        <v>542</v>
      </c>
      <c r="D67" s="31" t="s">
        <v>536</v>
      </c>
      <c r="E67" s="10"/>
      <c r="F67" s="19"/>
    </row>
    <row r="68" customFormat="false" ht="15" hidden="false" customHeight="false" outlineLevel="0" collapsed="false">
      <c r="A68" s="31" t="s">
        <v>543</v>
      </c>
      <c r="B68" s="20" t="s">
        <v>544</v>
      </c>
      <c r="C68" s="20" t="s">
        <v>545</v>
      </c>
      <c r="D68" s="31" t="s">
        <v>536</v>
      </c>
      <c r="E68" s="10"/>
      <c r="F68" s="19"/>
    </row>
    <row r="69" customFormat="false" ht="15" hidden="false" customHeight="false" outlineLevel="0" collapsed="false">
      <c r="A69" s="31" t="s">
        <v>546</v>
      </c>
      <c r="B69" s="19" t="s">
        <v>547</v>
      </c>
      <c r="C69" s="20" t="s">
        <v>548</v>
      </c>
      <c r="D69" s="31" t="s">
        <v>536</v>
      </c>
      <c r="E69" s="10"/>
      <c r="F69" s="19"/>
    </row>
    <row r="70" customFormat="false" ht="15" hidden="false" customHeight="false" outlineLevel="0" collapsed="false">
      <c r="A70" s="31" t="s">
        <v>549</v>
      </c>
      <c r="B70" s="20" t="s">
        <v>550</v>
      </c>
      <c r="C70" s="19" t="s">
        <v>551</v>
      </c>
      <c r="D70" s="31" t="str">
        <f aca="false">IF(SUMPRODUCT((Captures!C5:C64&lt;&gt;"")*(Captures!F5:F64=""))=0,"✅","❌ URL 누락")</f>
        <v>✅</v>
      </c>
      <c r="E70" s="10"/>
      <c r="F70" s="19"/>
    </row>
    <row r="71" customFormat="false" ht="15" hidden="false" customHeight="false" outlineLevel="0" collapsed="false">
      <c r="A71" s="31" t="s">
        <v>552</v>
      </c>
      <c r="B71" s="20" t="s">
        <v>553</v>
      </c>
      <c r="C71" s="20" t="s">
        <v>548</v>
      </c>
      <c r="D71" s="31" t="s">
        <v>536</v>
      </c>
      <c r="E71" s="10"/>
      <c r="F71" s="19"/>
    </row>
    <row r="72" customFormat="false" ht="15" hidden="false" customHeight="false" outlineLevel="0" collapsed="false">
      <c r="A72" s="31" t="s">
        <v>554</v>
      </c>
      <c r="B72" s="19" t="s">
        <v>555</v>
      </c>
      <c r="C72" s="19" t="s">
        <v>556</v>
      </c>
      <c r="D72" s="31" t="str">
        <f aca="false">IF(SUMPRODUCT((Captures!C5:C64&lt;&gt;"")*(Captures!O5:O64=""))=0,"✅","❌ adopted 누락")</f>
        <v>✅</v>
      </c>
      <c r="E72" s="10"/>
      <c r="F72" s="19"/>
    </row>
    <row r="73" customFormat="false" ht="15" hidden="false" customHeight="false" outlineLevel="0" collapsed="false">
      <c r="A73" s="31" t="s">
        <v>557</v>
      </c>
      <c r="B73" s="19" t="s">
        <v>558</v>
      </c>
      <c r="C73" s="19" t="s">
        <v>559</v>
      </c>
      <c r="D73" s="31" t="s">
        <v>536</v>
      </c>
      <c r="E73" s="10"/>
      <c r="F73" s="19"/>
    </row>
  </sheetData>
  <mergeCells count="8">
    <mergeCell ref="A1:F1"/>
    <mergeCell ref="A2:F2"/>
    <mergeCell ref="A4:F4"/>
    <mergeCell ref="A22:B22"/>
    <mergeCell ref="A24:F24"/>
    <mergeCell ref="A44:B44"/>
    <mergeCell ref="A46:F46"/>
    <mergeCell ref="A56:F56"/>
  </mergeCells>
  <conditionalFormatting sqref="F6:F21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2">
      <formula>"미착수"</formula>
    </cfRule>
    <cfRule type="expression" priority="4" aboveAverage="0" equalAverage="0" bottom="0" percent="0" rank="0" text="" dxfId="3">
      <formula>ISNUMBER(SEARCH("부족",F6))</formula>
    </cfRule>
  </conditionalFormatting>
  <conditionalFormatting sqref="D48:D53">
    <cfRule type="cellIs" priority="5" operator="equal" aboveAverage="0" equalAverage="0" bottom="0" percent="0" rank="0" text="" dxfId="0">
      <formula>"OK"</formula>
    </cfRule>
    <cfRule type="expression" priority="6" aboveAverage="0" equalAverage="0" bottom="0" percent="0" rank="0" text="" dxfId="4">
      <formula>ISNUMBER(SEARCH("경고",D48))</formula>
    </cfRule>
    <cfRule type="expression" priority="7" aboveAverage="0" equalAverage="0" bottom="0" percent="0" rank="0" text="" dxfId="3">
      <formula>ISNUMBER(SEARCH("진행중",D48))</formula>
    </cfRule>
    <cfRule type="expression" priority="8" aboveAverage="0" equalAverage="0" bottom="0" percent="0" rank="0" text="" dxfId="3">
      <formula>ISNUMBER(SEARCH("부족",D48))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2026-04-24T07:15:20Z</dcterms:created>
  <dc:creator>openpyxl</dc:creator>
  <dc:description/>
  <dc:language>en-US</dc:language>
  <cp:lastModifiedBy/>
  <dcterms:modified xsi:type="dcterms:W3CDTF">2026-04-24T07:19:12Z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